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棚卸し入力" sheetId="2" state="visible" r:id="rId4"/>
    <sheet name="発注リスト" sheetId="3" state="visible" r:id="rId5"/>
  </sheets>
  <definedNames>
    <definedName function="false" hidden="false" localSheetId="1" name="_xlnm.Print_Titles" vbProcedure="false">棚卸し入力!$1:$1</definedName>
    <definedName function="false" hidden="false" localSheetId="2" name="_xlnm.Print_Titles" vbProcedure="false">発注リスト!$1:$1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<sst xmlns="http://schemas.openxmlformats.org/spreadsheetml/2006/main" count="94" uniqueCount="57">
  <si>
    <t xml:space="preserve">棚卸し・発注表（試作）</t>
  </si>
  <si>
    <t xml:space="preserve">【社員さんの作業】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</si>
  <si>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スマホで「棚卸し入力」シートを開く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</si>
  <si>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上から順にキッチンを回り、黄色の「在庫」欄に数を入れるだけ</t>
    </r>
  </si>
  <si>
    <r>
      <rPr>
        <sz val="11"/>
        <rFont val="Arial"/>
        <family val="0"/>
        <charset val="1"/>
      </rPr>
      <t xml:space="preserve">3. </t>
    </r>
    <r>
      <rPr>
        <sz val="11"/>
        <rFont val="WenQuanYi Zen Hei"/>
        <family val="2"/>
      </rPr>
      <t xml:space="preserve">「発注数」は自動で計算されます（定数 − 在庫）。発注が必要な行はオレンジ色になります</t>
    </r>
  </si>
  <si>
    <r>
      <rPr>
        <sz val="11"/>
        <rFont val="Arial"/>
        <family val="0"/>
        <charset val="1"/>
      </rPr>
      <t xml:space="preserve">4. </t>
    </r>
    <r>
      <rPr>
        <sz val="11"/>
        <rFont val="WenQuanYi Zen Hei"/>
        <family val="2"/>
      </rPr>
      <t xml:space="preserve">「発注リスト」シートに、発注が必要な物だけが自動でまとまります → そのまま発注・印刷</t>
    </r>
  </si>
  <si>
    <t xml:space="preserve">【品目の追加・修正（管理者）】</t>
  </si>
  <si>
    <t xml:space="preserve">・並び順は「キッチンを回る順番」にしてください（場所ごとにまとめる）</t>
  </si>
  <si>
    <t xml:space="preserve">・定数＝「次の発注までにこれだけあれば足りる量」。料理長・社員さんに決めてもらう</t>
  </si>
  <si>
    <t xml:space="preserve">・行を追加したら、発注数・連番の列の式も下にコピーしてください</t>
  </si>
  <si>
    <t xml:space="preserve">※ 品目・数量はすべて架空のサンプルです</t>
  </si>
  <si>
    <t xml:space="preserve">場所</t>
  </si>
  <si>
    <t xml:space="preserve">品名</t>
  </si>
  <si>
    <t xml:space="preserve">単位</t>
  </si>
  <si>
    <t xml:space="preserve">業者</t>
  </si>
  <si>
    <t xml:space="preserve">定数</t>
  </si>
  <si>
    <t xml:space="preserve">在庫</t>
  </si>
  <si>
    <t xml:space="preserve">発注数</t>
  </si>
  <si>
    <t xml:space="preserve">備考</t>
  </si>
  <si>
    <t xml:space="preserve">冷蔵庫①上段</t>
  </si>
  <si>
    <t xml:space="preserve">鶏もも肉</t>
  </si>
  <si>
    <t xml:space="preserve">kg</t>
  </si>
  <si>
    <r>
      <rPr>
        <sz val="11"/>
        <rFont val="Arial"/>
        <family val="0"/>
        <charset val="1"/>
      </rPr>
      <t xml:space="preserve">A</t>
    </r>
    <r>
      <rPr>
        <sz val="11"/>
        <rFont val="WenQuanYi Zen Hei"/>
        <family val="2"/>
      </rPr>
      <t xml:space="preserve">精肉</t>
    </r>
  </si>
  <si>
    <t xml:space="preserve">豚バラ肉</t>
  </si>
  <si>
    <t xml:space="preserve">冷蔵庫①下段</t>
  </si>
  <si>
    <t xml:space="preserve">卵</t>
  </si>
  <si>
    <t xml:space="preserve">パック</t>
  </si>
  <si>
    <r>
      <rPr>
        <sz val="11"/>
        <rFont val="Arial"/>
        <family val="0"/>
        <charset val="1"/>
      </rPr>
      <t xml:space="preserve">B</t>
    </r>
    <r>
      <rPr>
        <sz val="11"/>
        <rFont val="WenQuanYi Zen Hei"/>
        <family val="2"/>
      </rPr>
      <t xml:space="preserve">青果</t>
    </r>
  </si>
  <si>
    <t xml:space="preserve">キャベツ</t>
  </si>
  <si>
    <t xml:space="preserve">玉</t>
  </si>
  <si>
    <t xml:space="preserve">玉ねぎ</t>
  </si>
  <si>
    <t xml:space="preserve">箱</t>
  </si>
  <si>
    <t xml:space="preserve">冷凍庫</t>
  </si>
  <si>
    <t xml:space="preserve">冷凍エビ</t>
  </si>
  <si>
    <t xml:space="preserve">袋</t>
  </si>
  <si>
    <r>
      <rPr>
        <sz val="11"/>
        <rFont val="Arial"/>
        <family val="0"/>
        <charset val="1"/>
      </rPr>
      <t xml:space="preserve">C</t>
    </r>
    <r>
      <rPr>
        <sz val="11"/>
        <rFont val="WenQuanYi Zen Hei"/>
        <family val="2"/>
      </rPr>
      <t xml:space="preserve">食品</t>
    </r>
  </si>
  <si>
    <t xml:space="preserve">フライドポテト</t>
  </si>
  <si>
    <t xml:space="preserve">唐揚げ粉</t>
  </si>
  <si>
    <t xml:space="preserve">乾物棚</t>
  </si>
  <si>
    <t xml:space="preserve">米</t>
  </si>
  <si>
    <r>
      <rPr>
        <sz val="11"/>
        <rFont val="WenQuanYi Zen Hei"/>
        <family val="2"/>
      </rPr>
      <t xml:space="preserve">袋</t>
    </r>
    <r>
      <rPr>
        <sz val="11"/>
        <rFont val="Arial"/>
        <family val="0"/>
        <charset val="1"/>
      </rPr>
      <t xml:space="preserve">(10kg)</t>
    </r>
  </si>
  <si>
    <r>
      <rPr>
        <sz val="11"/>
        <rFont val="Arial"/>
        <family val="0"/>
        <charset val="1"/>
      </rPr>
      <t xml:space="preserve">D</t>
    </r>
    <r>
      <rPr>
        <sz val="11"/>
        <rFont val="WenQuanYi Zen Hei"/>
        <family val="2"/>
      </rPr>
      <t xml:space="preserve">米店</t>
    </r>
  </si>
  <si>
    <t xml:space="preserve">パスタ</t>
  </si>
  <si>
    <t xml:space="preserve">薄力粉</t>
  </si>
  <si>
    <t xml:space="preserve">調味料棚</t>
  </si>
  <si>
    <t xml:space="preserve">醤油</t>
  </si>
  <si>
    <t xml:space="preserve">本</t>
  </si>
  <si>
    <t xml:space="preserve">みりん</t>
  </si>
  <si>
    <t xml:space="preserve">サラダ油</t>
  </si>
  <si>
    <t xml:space="preserve">缶</t>
  </si>
  <si>
    <t xml:space="preserve">消耗品棚</t>
  </si>
  <si>
    <t xml:space="preserve">ラップ</t>
  </si>
  <si>
    <r>
      <rPr>
        <sz val="11"/>
        <rFont val="Arial"/>
        <family val="0"/>
        <charset val="1"/>
      </rPr>
      <t xml:space="preserve">E</t>
    </r>
    <r>
      <rPr>
        <sz val="11"/>
        <rFont val="WenQuanYi Zen Hei"/>
        <family val="2"/>
      </rPr>
      <t xml:space="preserve">資材</t>
    </r>
  </si>
  <si>
    <t xml:space="preserve">ゴム手袋</t>
  </si>
  <si>
    <t xml:space="preserve">洗剤</t>
  </si>
  <si>
    <t xml:space="preserve">No</t>
  </si>
  <si>
    <r>
      <rPr>
        <sz val="9"/>
        <color rgb="FF666666"/>
        <rFont val="WenQuanYi Zen Hei"/>
        <family val="2"/>
      </rPr>
      <t xml:space="preserve">※ 「棚卸し入力」で発注数が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以上の品目だけが自動で並びます（最大</t>
    </r>
    <r>
      <rPr>
        <sz val="9"/>
        <color rgb="FF666666"/>
        <rFont val="Arial"/>
        <family val="0"/>
        <charset val="1"/>
      </rPr>
      <t xml:space="preserve">60</t>
    </r>
    <r>
      <rPr>
        <sz val="9"/>
        <color rgb="FF666666"/>
        <rFont val="WenQuanYi Zen Hei"/>
        <family val="2"/>
      </rPr>
      <t xml:space="preserve">件。足りなければ行を下にコピー）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</si>
</sst>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(連番)&quot;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888888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8CBAD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F2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B3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4.9" hidden="false" customHeight="false" outlineLevel="0" collapsed="false">
      <c r="A4" s="2" t="s">
        <v>2</v>
      </c>
    </row>
    <row r="5" customFormat="false" ht="14.9" hidden="false" customHeight="false" outlineLevel="0" collapsed="false">
      <c r="A5" s="2" t="s">
        <v>3</v>
      </c>
    </row>
    <row r="6" customFormat="false" ht="14.9" hidden="false" customHeight="false" outlineLevel="0" collapsed="false">
      <c r="A6" s="2" t="s">
        <v>4</v>
      </c>
    </row>
    <row r="7" customFormat="false" ht="14.9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6" t="n">
        <v>0</v>
      </c>
    </row>
    <row r="2" customFormat="false" ht="15" hidden="false" customHeight="false" outlineLevel="0" collapsed="false">
      <c r="A2" s="7" t="s">
        <v>19</v>
      </c>
      <c r="B2" s="7" t="s">
        <v>20</v>
      </c>
      <c r="C2" s="8" t="s">
        <v>21</v>
      </c>
      <c r="D2" s="8" t="s">
        <v>22</v>
      </c>
      <c r="E2" s="9" t="n">
        <v>10</v>
      </c>
      <c r="F2" s="10" t="n">
        <v>4</v>
      </c>
      <c r="G2" s="11" t="n">
        <f aca="false">IF(F2="","",MAX(0,E2-F2))</f>
        <v>6</v>
      </c>
      <c r="H2" s="12"/>
      <c r="I2" s="13" t="n">
        <f aca="false">IF(N(G2)&gt;0,MAX(I$1:I1)+1,"")</f>
        <v>1</v>
      </c>
    </row>
    <row r="3" customFormat="false" ht="15" hidden="false" customHeight="false" outlineLevel="0" collapsed="false">
      <c r="A3" s="7" t="s">
        <v>19</v>
      </c>
      <c r="B3" s="7" t="s">
        <v>23</v>
      </c>
      <c r="C3" s="8" t="s">
        <v>21</v>
      </c>
      <c r="D3" s="8" t="s">
        <v>22</v>
      </c>
      <c r="E3" s="9" t="n">
        <v>6</v>
      </c>
      <c r="F3" s="10" t="n">
        <v>5</v>
      </c>
      <c r="G3" s="11" t="n">
        <f aca="false">IF(F3="","",MAX(0,E3-F3))</f>
        <v>1</v>
      </c>
      <c r="H3" s="12"/>
      <c r="I3" s="13" t="n">
        <f aca="false">IF(N(G3)&gt;0,MAX(I$1:I2)+1,"")</f>
        <v>2</v>
      </c>
    </row>
    <row r="4" customFormat="false" ht="15" hidden="false" customHeight="false" outlineLevel="0" collapsed="false">
      <c r="A4" s="7" t="s">
        <v>24</v>
      </c>
      <c r="B4" s="7" t="s">
        <v>25</v>
      </c>
      <c r="C4" s="7" t="s">
        <v>26</v>
      </c>
      <c r="D4" s="8" t="s">
        <v>27</v>
      </c>
      <c r="E4" s="9" t="n">
        <v>8</v>
      </c>
      <c r="F4" s="10" t="n">
        <v>3</v>
      </c>
      <c r="G4" s="11" t="n">
        <f aca="false">IF(F4="","",MAX(0,E4-F4))</f>
        <v>5</v>
      </c>
      <c r="H4" s="12"/>
      <c r="I4" s="13" t="n">
        <f aca="false">IF(N(G4)&gt;0,MAX(I$1:I3)+1,"")</f>
        <v>3</v>
      </c>
    </row>
    <row r="5" customFormat="false" ht="15" hidden="false" customHeight="false" outlineLevel="0" collapsed="false">
      <c r="A5" s="7" t="s">
        <v>24</v>
      </c>
      <c r="B5" s="7" t="s">
        <v>28</v>
      </c>
      <c r="C5" s="7" t="s">
        <v>29</v>
      </c>
      <c r="D5" s="8" t="s">
        <v>27</v>
      </c>
      <c r="E5" s="9" t="n">
        <v>6</v>
      </c>
      <c r="F5" s="10" t="n">
        <v>6</v>
      </c>
      <c r="G5" s="11" t="n">
        <f aca="false">IF(F5="","",MAX(0,E5-F5))</f>
        <v>0</v>
      </c>
      <c r="H5" s="12"/>
      <c r="I5" s="13" t="str">
        <f aca="false">IF(N(G5)&gt;0,MAX(I$1:I4)+1,"")</f>
        <v/>
      </c>
    </row>
    <row r="6" customFormat="false" ht="15" hidden="false" customHeight="false" outlineLevel="0" collapsed="false">
      <c r="A6" s="7" t="s">
        <v>24</v>
      </c>
      <c r="B6" s="7" t="s">
        <v>30</v>
      </c>
      <c r="C6" s="7" t="s">
        <v>31</v>
      </c>
      <c r="D6" s="8" t="s">
        <v>27</v>
      </c>
      <c r="E6" s="9" t="n">
        <v>2</v>
      </c>
      <c r="F6" s="10" t="n">
        <v>1</v>
      </c>
      <c r="G6" s="11" t="n">
        <f aca="false">IF(F6="","",MAX(0,E6-F6))</f>
        <v>1</v>
      </c>
      <c r="H6" s="12"/>
      <c r="I6" s="13" t="n">
        <f aca="false">IF(N(G6)&gt;0,MAX(I$1:I5)+1,"")</f>
        <v>4</v>
      </c>
    </row>
    <row r="7" customFormat="false" ht="15" hidden="false" customHeight="false" outlineLevel="0" collapsed="false">
      <c r="A7" s="7" t="s">
        <v>32</v>
      </c>
      <c r="B7" s="7" t="s">
        <v>33</v>
      </c>
      <c r="C7" s="7" t="s">
        <v>34</v>
      </c>
      <c r="D7" s="8" t="s">
        <v>35</v>
      </c>
      <c r="E7" s="9" t="n">
        <v>5</v>
      </c>
      <c r="F7" s="10" t="n">
        <v>2</v>
      </c>
      <c r="G7" s="11" t="n">
        <f aca="false">IF(F7="","",MAX(0,E7-F7))</f>
        <v>3</v>
      </c>
      <c r="H7" s="12"/>
      <c r="I7" s="13" t="n">
        <f aca="false">IF(N(G7)&gt;0,MAX(I$1:I6)+1,"")</f>
        <v>5</v>
      </c>
    </row>
    <row r="8" customFormat="false" ht="15" hidden="false" customHeight="false" outlineLevel="0" collapsed="false">
      <c r="A8" s="7" t="s">
        <v>32</v>
      </c>
      <c r="B8" s="7" t="s">
        <v>36</v>
      </c>
      <c r="C8" s="7" t="s">
        <v>34</v>
      </c>
      <c r="D8" s="8" t="s">
        <v>35</v>
      </c>
      <c r="E8" s="9" t="n">
        <v>8</v>
      </c>
      <c r="F8" s="10" t="n">
        <v>7</v>
      </c>
      <c r="G8" s="11" t="n">
        <f aca="false">IF(F8="","",MAX(0,E8-F8))</f>
        <v>1</v>
      </c>
      <c r="H8" s="12"/>
      <c r="I8" s="13" t="n">
        <f aca="false">IF(N(G8)&gt;0,MAX(I$1:I7)+1,"")</f>
        <v>6</v>
      </c>
    </row>
    <row r="9" customFormat="false" ht="15" hidden="false" customHeight="false" outlineLevel="0" collapsed="false">
      <c r="A9" s="7" t="s">
        <v>32</v>
      </c>
      <c r="B9" s="7" t="s">
        <v>37</v>
      </c>
      <c r="C9" s="7" t="s">
        <v>34</v>
      </c>
      <c r="D9" s="8" t="s">
        <v>35</v>
      </c>
      <c r="E9" s="9" t="n">
        <v>4</v>
      </c>
      <c r="F9" s="10" t="n">
        <v>4</v>
      </c>
      <c r="G9" s="11" t="n">
        <f aca="false">IF(F9="","",MAX(0,E9-F9))</f>
        <v>0</v>
      </c>
      <c r="H9" s="12"/>
      <c r="I9" s="13" t="str">
        <f aca="false">IF(N(G9)&gt;0,MAX(I$1:I8)+1,"")</f>
        <v/>
      </c>
    </row>
    <row r="10" customFormat="false" ht="15" hidden="false" customHeight="false" outlineLevel="0" collapsed="false">
      <c r="A10" s="7" t="s">
        <v>38</v>
      </c>
      <c r="B10" s="7" t="s">
        <v>39</v>
      </c>
      <c r="C10" s="7" t="s">
        <v>40</v>
      </c>
      <c r="D10" s="8" t="s">
        <v>41</v>
      </c>
      <c r="E10" s="9" t="n">
        <v>6</v>
      </c>
      <c r="F10" s="10" t="n">
        <v>2</v>
      </c>
      <c r="G10" s="11" t="n">
        <f aca="false">IF(F10="","",MAX(0,E10-F10))</f>
        <v>4</v>
      </c>
      <c r="H10" s="12"/>
      <c r="I10" s="13" t="n">
        <f aca="false">IF(N(G10)&gt;0,MAX(I$1:I9)+1,"")</f>
        <v>7</v>
      </c>
    </row>
    <row r="11" customFormat="false" ht="15" hidden="false" customHeight="false" outlineLevel="0" collapsed="false">
      <c r="A11" s="7" t="s">
        <v>38</v>
      </c>
      <c r="B11" s="7" t="s">
        <v>42</v>
      </c>
      <c r="C11" s="7" t="s">
        <v>34</v>
      </c>
      <c r="D11" s="8" t="s">
        <v>35</v>
      </c>
      <c r="E11" s="9" t="n">
        <v>10</v>
      </c>
      <c r="F11" s="10" t="n">
        <v>9</v>
      </c>
      <c r="G11" s="11" t="n">
        <f aca="false">IF(F11="","",MAX(0,E11-F11))</f>
        <v>1</v>
      </c>
      <c r="H11" s="12"/>
      <c r="I11" s="13" t="n">
        <f aca="false">IF(N(G11)&gt;0,MAX(I$1:I10)+1,"")</f>
        <v>8</v>
      </c>
    </row>
    <row r="12" customFormat="false" ht="15" hidden="false" customHeight="false" outlineLevel="0" collapsed="false">
      <c r="A12" s="7" t="s">
        <v>38</v>
      </c>
      <c r="B12" s="7" t="s">
        <v>43</v>
      </c>
      <c r="C12" s="7" t="s">
        <v>34</v>
      </c>
      <c r="D12" s="8" t="s">
        <v>35</v>
      </c>
      <c r="E12" s="9" t="n">
        <v>3</v>
      </c>
      <c r="F12" s="10" t="n">
        <v>1</v>
      </c>
      <c r="G12" s="11" t="n">
        <f aca="false">IF(F12="","",MAX(0,E12-F12))</f>
        <v>2</v>
      </c>
      <c r="H12" s="12"/>
      <c r="I12" s="13" t="n">
        <f aca="false">IF(N(G12)&gt;0,MAX(I$1:I11)+1,"")</f>
        <v>9</v>
      </c>
    </row>
    <row r="13" customFormat="false" ht="15" hidden="false" customHeight="false" outlineLevel="0" collapsed="false">
      <c r="A13" s="7" t="s">
        <v>44</v>
      </c>
      <c r="B13" s="7" t="s">
        <v>45</v>
      </c>
      <c r="C13" s="7" t="s">
        <v>46</v>
      </c>
      <c r="D13" s="8" t="s">
        <v>35</v>
      </c>
      <c r="E13" s="9" t="n">
        <v>4</v>
      </c>
      <c r="F13" s="10" t="n">
        <v>2</v>
      </c>
      <c r="G13" s="11" t="n">
        <f aca="false">IF(F13="","",MAX(0,E13-F13))</f>
        <v>2</v>
      </c>
      <c r="H13" s="12"/>
      <c r="I13" s="13" t="n">
        <f aca="false">IF(N(G13)&gt;0,MAX(I$1:I12)+1,"")</f>
        <v>10</v>
      </c>
    </row>
    <row r="14" customFormat="false" ht="15" hidden="false" customHeight="false" outlineLevel="0" collapsed="false">
      <c r="A14" s="7" t="s">
        <v>44</v>
      </c>
      <c r="B14" s="7" t="s">
        <v>47</v>
      </c>
      <c r="C14" s="7" t="s">
        <v>46</v>
      </c>
      <c r="D14" s="8" t="s">
        <v>35</v>
      </c>
      <c r="E14" s="9" t="n">
        <v>3</v>
      </c>
      <c r="F14" s="10" t="n">
        <v>3</v>
      </c>
      <c r="G14" s="11" t="n">
        <f aca="false">IF(F14="","",MAX(0,E14-F14))</f>
        <v>0</v>
      </c>
      <c r="H14" s="12"/>
      <c r="I14" s="13" t="str">
        <f aca="false">IF(N(G14)&gt;0,MAX(I$1:I13)+1,"")</f>
        <v/>
      </c>
    </row>
    <row r="15" customFormat="false" ht="15" hidden="false" customHeight="false" outlineLevel="0" collapsed="false">
      <c r="A15" s="7" t="s">
        <v>44</v>
      </c>
      <c r="B15" s="7" t="s">
        <v>48</v>
      </c>
      <c r="C15" s="7" t="s">
        <v>49</v>
      </c>
      <c r="D15" s="8" t="s">
        <v>35</v>
      </c>
      <c r="E15" s="9" t="n">
        <v>2</v>
      </c>
      <c r="F15" s="10" t="n">
        <v>0</v>
      </c>
      <c r="G15" s="11" t="n">
        <f aca="false">IF(F15="","",MAX(0,E15-F15))</f>
        <v>2</v>
      </c>
      <c r="H15" s="12"/>
      <c r="I15" s="13" t="n">
        <f aca="false">IF(N(G15)&gt;0,MAX(I$1:I14)+1,"")</f>
        <v>11</v>
      </c>
    </row>
    <row r="16" customFormat="false" ht="15" hidden="false" customHeight="false" outlineLevel="0" collapsed="false">
      <c r="A16" s="7" t="s">
        <v>50</v>
      </c>
      <c r="B16" s="7" t="s">
        <v>51</v>
      </c>
      <c r="C16" s="7" t="s">
        <v>46</v>
      </c>
      <c r="D16" s="8" t="s">
        <v>52</v>
      </c>
      <c r="E16" s="9" t="n">
        <v>5</v>
      </c>
      <c r="F16" s="10" t="n">
        <v>2</v>
      </c>
      <c r="G16" s="11" t="n">
        <f aca="false">IF(F16="","",MAX(0,E16-F16))</f>
        <v>3</v>
      </c>
      <c r="H16" s="12"/>
      <c r="I16" s="13" t="n">
        <f aca="false">IF(N(G16)&gt;0,MAX(I$1:I15)+1,"")</f>
        <v>12</v>
      </c>
    </row>
    <row r="17" customFormat="false" ht="15" hidden="false" customHeight="false" outlineLevel="0" collapsed="false">
      <c r="A17" s="7" t="s">
        <v>50</v>
      </c>
      <c r="B17" s="7" t="s">
        <v>53</v>
      </c>
      <c r="C17" s="7" t="s">
        <v>31</v>
      </c>
      <c r="D17" s="8" t="s">
        <v>52</v>
      </c>
      <c r="E17" s="9" t="n">
        <v>4</v>
      </c>
      <c r="F17" s="10" t="n">
        <v>4</v>
      </c>
      <c r="G17" s="11" t="n">
        <f aca="false">IF(F17="","",MAX(0,E17-F17))</f>
        <v>0</v>
      </c>
      <c r="H17" s="12"/>
      <c r="I17" s="13" t="str">
        <f aca="false">IF(N(G17)&gt;0,MAX(I$1:I16)+1,"")</f>
        <v/>
      </c>
    </row>
    <row r="18" customFormat="false" ht="15" hidden="false" customHeight="false" outlineLevel="0" collapsed="false">
      <c r="A18" s="7" t="s">
        <v>50</v>
      </c>
      <c r="B18" s="7" t="s">
        <v>54</v>
      </c>
      <c r="C18" s="7" t="s">
        <v>46</v>
      </c>
      <c r="D18" s="8" t="s">
        <v>52</v>
      </c>
      <c r="E18" s="9" t="n">
        <v>3</v>
      </c>
      <c r="F18" s="10"/>
      <c r="G18" s="11" t="str">
        <f aca="false">IF(F18="","",MAX(0,E18-F18))</f>
        <v/>
      </c>
      <c r="H18" s="12"/>
      <c r="I18" s="13" t="str">
        <f aca="false">IF(N(G18)&gt;0,MAX(I$1:I17)+1,"")</f>
        <v/>
      </c>
    </row>
  </sheetData>
  <conditionalFormatting sqref="A2:H18">
    <cfRule type="expression" priority="2" aboveAverage="0" equalAverage="0" bottom="0" percent="0" rank="0" text="" dxfId="0">
      <formula>N($G2)&gt;0</formula>
    </cfRule>
  </conditionalFormatting>
  <conditionalFormatting sqref="F2:F18">
    <cfRule type="expression" priority="3" aboveAverage="0" equalAverage="0" bottom="0" percent="0" rank="0" text="" dxfId="1">
      <formula>$F2=""</formula>
    </cfRule>
  </conditionalFormatting>
  <dataValidations count="1">
    <dataValidation allowBlank="false" error="0以上の数を入力してください" errorStyle="stop" operator="greaterThanOrEqual" showDropDown="false" showErrorMessage="true" showInputMessage="false" sqref="F2:F21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4" t="s">
        <v>55</v>
      </c>
      <c r="B1" s="5" t="s">
        <v>14</v>
      </c>
      <c r="C1" s="5" t="s">
        <v>12</v>
      </c>
      <c r="D1" s="5" t="s">
        <v>17</v>
      </c>
      <c r="E1" s="5" t="s">
        <v>13</v>
      </c>
      <c r="F1" s="5" t="s">
        <v>11</v>
      </c>
    </row>
    <row r="2" customFormat="false" ht="15" hidden="false" customHeight="false" outlineLevel="0" collapsed="false">
      <c r="A2" s="15" t="n">
        <f aca="false">IF(C2="","",1)</f>
        <v>1</v>
      </c>
      <c r="B2" s="8" t="str">
        <f aca="false">IFERROR(INDEX(棚卸し入力!$D:$D,MATCH(1,棚卸し入力!$I:$I,0)),"")</f>
        <v>A精肉</v>
      </c>
      <c r="C2" s="8" t="str">
        <f aca="false">IFERROR(INDEX(棚卸し入力!$B:$B,MATCH(1,棚卸し入力!$I:$I,0)),"")</f>
        <v>鶏もも肉</v>
      </c>
      <c r="D2" s="15" t="n">
        <f aca="false">IFERROR(INDEX(棚卸し入力!$G:$G,MATCH(1,棚卸し入力!$I:$I,0)),"")</f>
        <v>6</v>
      </c>
      <c r="E2" s="8" t="str">
        <f aca="false">IFERROR(INDEX(棚卸し入力!$C:$C,MATCH(1,棚卸し入力!$I:$I,0)),"")</f>
        <v>kg</v>
      </c>
      <c r="F2" s="8" t="str">
        <f aca="false">IFERROR(INDEX(棚卸し入力!$A:$A,MATCH(1,棚卸し入力!$I:$I,0)),"")</f>
        <v>冷蔵庫①上段</v>
      </c>
    </row>
    <row r="3" customFormat="false" ht="15" hidden="false" customHeight="false" outlineLevel="0" collapsed="false">
      <c r="A3" s="15" t="n">
        <f aca="false">IF(C3="","",2)</f>
        <v>2</v>
      </c>
      <c r="B3" s="8" t="str">
        <f aca="false">IFERROR(INDEX(棚卸し入力!$D:$D,MATCH(2,棚卸し入力!$I:$I,0)),"")</f>
        <v>A精肉</v>
      </c>
      <c r="C3" s="8" t="str">
        <f aca="false">IFERROR(INDEX(棚卸し入力!$B:$B,MATCH(2,棚卸し入力!$I:$I,0)),"")</f>
        <v>豚バラ肉</v>
      </c>
      <c r="D3" s="15" t="n">
        <f aca="false">IFERROR(INDEX(棚卸し入力!$G:$G,MATCH(2,棚卸し入力!$I:$I,0)),"")</f>
        <v>1</v>
      </c>
      <c r="E3" s="8" t="str">
        <f aca="false">IFERROR(INDEX(棚卸し入力!$C:$C,MATCH(2,棚卸し入力!$I:$I,0)),"")</f>
        <v>kg</v>
      </c>
      <c r="F3" s="8" t="str">
        <f aca="false">IFERROR(INDEX(棚卸し入力!$A:$A,MATCH(2,棚卸し入力!$I:$I,0)),"")</f>
        <v>冷蔵庫①上段</v>
      </c>
    </row>
    <row r="4" customFormat="false" ht="15" hidden="false" customHeight="false" outlineLevel="0" collapsed="false">
      <c r="A4" s="15" t="n">
        <f aca="false">IF(C4="","",3)</f>
        <v>3</v>
      </c>
      <c r="B4" s="8" t="str">
        <f aca="false">IFERROR(INDEX(棚卸し入力!$D:$D,MATCH(3,棚卸し入力!$I:$I,0)),"")</f>
        <v>B青果</v>
      </c>
      <c r="C4" s="8" t="str">
        <f aca="false">IFERROR(INDEX(棚卸し入力!$B:$B,MATCH(3,棚卸し入力!$I:$I,0)),"")</f>
        <v>卵</v>
      </c>
      <c r="D4" s="15" t="n">
        <f aca="false">IFERROR(INDEX(棚卸し入力!$G:$G,MATCH(3,棚卸し入力!$I:$I,0)),"")</f>
        <v>5</v>
      </c>
      <c r="E4" s="8" t="str">
        <f aca="false">IFERROR(INDEX(棚卸し入力!$C:$C,MATCH(3,棚卸し入力!$I:$I,0)),"")</f>
        <v>パック</v>
      </c>
      <c r="F4" s="8" t="str">
        <f aca="false">IFERROR(INDEX(棚卸し入力!$A:$A,MATCH(3,棚卸し入力!$I:$I,0)),"")</f>
        <v>冷蔵庫①下段</v>
      </c>
    </row>
    <row r="5" customFormat="false" ht="15" hidden="false" customHeight="false" outlineLevel="0" collapsed="false">
      <c r="A5" s="15" t="n">
        <f aca="false">IF(C5="","",4)</f>
        <v>4</v>
      </c>
      <c r="B5" s="8" t="str">
        <f aca="false">IFERROR(INDEX(棚卸し入力!$D:$D,MATCH(4,棚卸し入力!$I:$I,0)),"")</f>
        <v>B青果</v>
      </c>
      <c r="C5" s="8" t="str">
        <f aca="false">IFERROR(INDEX(棚卸し入力!$B:$B,MATCH(4,棚卸し入力!$I:$I,0)),"")</f>
        <v>玉ねぎ</v>
      </c>
      <c r="D5" s="15" t="n">
        <f aca="false">IFERROR(INDEX(棚卸し入力!$G:$G,MATCH(4,棚卸し入力!$I:$I,0)),"")</f>
        <v>1</v>
      </c>
      <c r="E5" s="8" t="str">
        <f aca="false">IFERROR(INDEX(棚卸し入力!$C:$C,MATCH(4,棚卸し入力!$I:$I,0)),"")</f>
        <v>箱</v>
      </c>
      <c r="F5" s="8" t="str">
        <f aca="false">IFERROR(INDEX(棚卸し入力!$A:$A,MATCH(4,棚卸し入力!$I:$I,0)),"")</f>
        <v>冷蔵庫①下段</v>
      </c>
    </row>
    <row r="6" customFormat="false" ht="15" hidden="false" customHeight="false" outlineLevel="0" collapsed="false">
      <c r="A6" s="15" t="n">
        <f aca="false">IF(C6="","",5)</f>
        <v>5</v>
      </c>
      <c r="B6" s="8" t="str">
        <f aca="false">IFERROR(INDEX(棚卸し入力!$D:$D,MATCH(5,棚卸し入力!$I:$I,0)),"")</f>
        <v>C食品</v>
      </c>
      <c r="C6" s="8" t="str">
        <f aca="false">IFERROR(INDEX(棚卸し入力!$B:$B,MATCH(5,棚卸し入力!$I:$I,0)),"")</f>
        <v>冷凍エビ</v>
      </c>
      <c r="D6" s="15" t="n">
        <f aca="false">IFERROR(INDEX(棚卸し入力!$G:$G,MATCH(5,棚卸し入力!$I:$I,0)),"")</f>
        <v>3</v>
      </c>
      <c r="E6" s="8" t="str">
        <f aca="false">IFERROR(INDEX(棚卸し入力!$C:$C,MATCH(5,棚卸し入力!$I:$I,0)),"")</f>
        <v>袋</v>
      </c>
      <c r="F6" s="8" t="str">
        <f aca="false">IFERROR(INDEX(棚卸し入力!$A:$A,MATCH(5,棚卸し入力!$I:$I,0)),"")</f>
        <v>冷凍庫</v>
      </c>
    </row>
    <row r="7" customFormat="false" ht="15" hidden="false" customHeight="false" outlineLevel="0" collapsed="false">
      <c r="A7" s="15" t="n">
        <f aca="false">IF(C7="","",6)</f>
        <v>6</v>
      </c>
      <c r="B7" s="8" t="str">
        <f aca="false">IFERROR(INDEX(棚卸し入力!$D:$D,MATCH(6,棚卸し入力!$I:$I,0)),"")</f>
        <v>C食品</v>
      </c>
      <c r="C7" s="8" t="str">
        <f aca="false">IFERROR(INDEX(棚卸し入力!$B:$B,MATCH(6,棚卸し入力!$I:$I,0)),"")</f>
        <v>フライドポテト</v>
      </c>
      <c r="D7" s="15" t="n">
        <f aca="false">IFERROR(INDEX(棚卸し入力!$G:$G,MATCH(6,棚卸し入力!$I:$I,0)),"")</f>
        <v>1</v>
      </c>
      <c r="E7" s="8" t="str">
        <f aca="false">IFERROR(INDEX(棚卸し入力!$C:$C,MATCH(6,棚卸し入力!$I:$I,0)),"")</f>
        <v>袋</v>
      </c>
      <c r="F7" s="8" t="str">
        <f aca="false">IFERROR(INDEX(棚卸し入力!$A:$A,MATCH(6,棚卸し入力!$I:$I,0)),"")</f>
        <v>冷凍庫</v>
      </c>
    </row>
    <row r="8" customFormat="false" ht="15" hidden="false" customHeight="false" outlineLevel="0" collapsed="false">
      <c r="A8" s="15" t="n">
        <f aca="false">IF(C8="","",7)</f>
        <v>7</v>
      </c>
      <c r="B8" s="8" t="str">
        <f aca="false">IFERROR(INDEX(棚卸し入力!$D:$D,MATCH(7,棚卸し入力!$I:$I,0)),"")</f>
        <v>D米店</v>
      </c>
      <c r="C8" s="8" t="str">
        <f aca="false">IFERROR(INDEX(棚卸し入力!$B:$B,MATCH(7,棚卸し入力!$I:$I,0)),"")</f>
        <v>米</v>
      </c>
      <c r="D8" s="15" t="n">
        <f aca="false">IFERROR(INDEX(棚卸し入力!$G:$G,MATCH(7,棚卸し入力!$I:$I,0)),"")</f>
        <v>4</v>
      </c>
      <c r="E8" s="8" t="str">
        <f aca="false">IFERROR(INDEX(棚卸し入力!$C:$C,MATCH(7,棚卸し入力!$I:$I,0)),"")</f>
        <v>袋(10kg)</v>
      </c>
      <c r="F8" s="8" t="str">
        <f aca="false">IFERROR(INDEX(棚卸し入力!$A:$A,MATCH(7,棚卸し入力!$I:$I,0)),"")</f>
        <v>乾物棚</v>
      </c>
    </row>
    <row r="9" customFormat="false" ht="15" hidden="false" customHeight="false" outlineLevel="0" collapsed="false">
      <c r="A9" s="15" t="n">
        <f aca="false">IF(C9="","",8)</f>
        <v>8</v>
      </c>
      <c r="B9" s="8" t="str">
        <f aca="false">IFERROR(INDEX(棚卸し入力!$D:$D,MATCH(8,棚卸し入力!$I:$I,0)),"")</f>
        <v>C食品</v>
      </c>
      <c r="C9" s="8" t="str">
        <f aca="false">IFERROR(INDEX(棚卸し入力!$B:$B,MATCH(8,棚卸し入力!$I:$I,0)),"")</f>
        <v>パスタ</v>
      </c>
      <c r="D9" s="15" t="n">
        <f aca="false">IFERROR(INDEX(棚卸し入力!$G:$G,MATCH(8,棚卸し入力!$I:$I,0)),"")</f>
        <v>1</v>
      </c>
      <c r="E9" s="8" t="str">
        <f aca="false">IFERROR(INDEX(棚卸し入力!$C:$C,MATCH(8,棚卸し入力!$I:$I,0)),"")</f>
        <v>袋</v>
      </c>
      <c r="F9" s="8" t="str">
        <f aca="false">IFERROR(INDEX(棚卸し入力!$A:$A,MATCH(8,棚卸し入力!$I:$I,0)),"")</f>
        <v>乾物棚</v>
      </c>
    </row>
    <row r="10" customFormat="false" ht="15" hidden="false" customHeight="false" outlineLevel="0" collapsed="false">
      <c r="A10" s="15" t="n">
        <f aca="false">IF(C10="","",9)</f>
        <v>9</v>
      </c>
      <c r="B10" s="8" t="str">
        <f aca="false">IFERROR(INDEX(棚卸し入力!$D:$D,MATCH(9,棚卸し入力!$I:$I,0)),"")</f>
        <v>C食品</v>
      </c>
      <c r="C10" s="8" t="str">
        <f aca="false">IFERROR(INDEX(棚卸し入力!$B:$B,MATCH(9,棚卸し入力!$I:$I,0)),"")</f>
        <v>薄力粉</v>
      </c>
      <c r="D10" s="15" t="n">
        <f aca="false">IFERROR(INDEX(棚卸し入力!$G:$G,MATCH(9,棚卸し入力!$I:$I,0)),"")</f>
        <v>2</v>
      </c>
      <c r="E10" s="8" t="str">
        <f aca="false">IFERROR(INDEX(棚卸し入力!$C:$C,MATCH(9,棚卸し入力!$I:$I,0)),"")</f>
        <v>袋</v>
      </c>
      <c r="F10" s="8" t="str">
        <f aca="false">IFERROR(INDEX(棚卸し入力!$A:$A,MATCH(9,棚卸し入力!$I:$I,0)),"")</f>
        <v>乾物棚</v>
      </c>
    </row>
    <row r="11" customFormat="false" ht="15" hidden="false" customHeight="false" outlineLevel="0" collapsed="false">
      <c r="A11" s="15" t="n">
        <f aca="false">IF(C11="","",10)</f>
        <v>10</v>
      </c>
      <c r="B11" s="8" t="str">
        <f aca="false">IFERROR(INDEX(棚卸し入力!$D:$D,MATCH(10,棚卸し入力!$I:$I,0)),"")</f>
        <v>C食品</v>
      </c>
      <c r="C11" s="8" t="str">
        <f aca="false">IFERROR(INDEX(棚卸し入力!$B:$B,MATCH(10,棚卸し入力!$I:$I,0)),"")</f>
        <v>醤油</v>
      </c>
      <c r="D11" s="15" t="n">
        <f aca="false">IFERROR(INDEX(棚卸し入力!$G:$G,MATCH(10,棚卸し入力!$I:$I,0)),"")</f>
        <v>2</v>
      </c>
      <c r="E11" s="8" t="str">
        <f aca="false">IFERROR(INDEX(棚卸し入力!$C:$C,MATCH(10,棚卸し入力!$I:$I,0)),"")</f>
        <v>本</v>
      </c>
      <c r="F11" s="8" t="str">
        <f aca="false">IFERROR(INDEX(棚卸し入力!$A:$A,MATCH(10,棚卸し入力!$I:$I,0)),"")</f>
        <v>調味料棚</v>
      </c>
    </row>
    <row r="12" customFormat="false" ht="15" hidden="false" customHeight="false" outlineLevel="0" collapsed="false">
      <c r="A12" s="15" t="n">
        <f aca="false">IF(C12="","",11)</f>
        <v>11</v>
      </c>
      <c r="B12" s="8" t="str">
        <f aca="false">IFERROR(INDEX(棚卸し入力!$D:$D,MATCH(11,棚卸し入力!$I:$I,0)),"")</f>
        <v>C食品</v>
      </c>
      <c r="C12" s="8" t="str">
        <f aca="false">IFERROR(INDEX(棚卸し入力!$B:$B,MATCH(11,棚卸し入力!$I:$I,0)),"")</f>
        <v>サラダ油</v>
      </c>
      <c r="D12" s="15" t="n">
        <f aca="false">IFERROR(INDEX(棚卸し入力!$G:$G,MATCH(11,棚卸し入力!$I:$I,0)),"")</f>
        <v>2</v>
      </c>
      <c r="E12" s="8" t="str">
        <f aca="false">IFERROR(INDEX(棚卸し入力!$C:$C,MATCH(11,棚卸し入力!$I:$I,0)),"")</f>
        <v>缶</v>
      </c>
      <c r="F12" s="8" t="str">
        <f aca="false">IFERROR(INDEX(棚卸し入力!$A:$A,MATCH(11,棚卸し入力!$I:$I,0)),"")</f>
        <v>調味料棚</v>
      </c>
    </row>
    <row r="13" customFormat="false" ht="15" hidden="false" customHeight="false" outlineLevel="0" collapsed="false">
      <c r="A13" s="15" t="n">
        <f aca="false">IF(C13="","",12)</f>
        <v>12</v>
      </c>
      <c r="B13" s="8" t="str">
        <f aca="false">IFERROR(INDEX(棚卸し入力!$D:$D,MATCH(12,棚卸し入力!$I:$I,0)),"")</f>
        <v>E資材</v>
      </c>
      <c r="C13" s="8" t="str">
        <f aca="false">IFERROR(INDEX(棚卸し入力!$B:$B,MATCH(12,棚卸し入力!$I:$I,0)),"")</f>
        <v>ラップ</v>
      </c>
      <c r="D13" s="15" t="n">
        <f aca="false">IFERROR(INDEX(棚卸し入力!$G:$G,MATCH(12,棚卸し入力!$I:$I,0)),"")</f>
        <v>3</v>
      </c>
      <c r="E13" s="8" t="str">
        <f aca="false">IFERROR(INDEX(棚卸し入力!$C:$C,MATCH(12,棚卸し入力!$I:$I,0)),"")</f>
        <v>本</v>
      </c>
      <c r="F13" s="8" t="str">
        <f aca="false">IFERROR(INDEX(棚卸し入力!$A:$A,MATCH(12,棚卸し入力!$I:$I,0)),"")</f>
        <v>消耗品棚</v>
      </c>
    </row>
    <row r="14" customFormat="false" ht="15" hidden="false" customHeight="false" outlineLevel="0" collapsed="false">
      <c r="A14" s="15" t="str">
        <f aca="false">IF(C14="","",13)</f>
        <v/>
      </c>
      <c r="B14" s="8" t="str">
        <f aca="false">IFERROR(INDEX(棚卸し入力!$D:$D,MATCH(13,棚卸し入力!$I:$I,0)),"")</f>
        <v/>
      </c>
      <c r="C14" s="8" t="str">
        <f aca="false">IFERROR(INDEX(棚卸し入力!$B:$B,MATCH(13,棚卸し入力!$I:$I,0)),"")</f>
        <v/>
      </c>
      <c r="D14" s="15" t="str">
        <f aca="false">IFERROR(INDEX(棚卸し入力!$G:$G,MATCH(13,棚卸し入力!$I:$I,0)),"")</f>
        <v/>
      </c>
      <c r="E14" s="8" t="str">
        <f aca="false">IFERROR(INDEX(棚卸し入力!$C:$C,MATCH(13,棚卸し入力!$I:$I,0)),"")</f>
        <v/>
      </c>
      <c r="F14" s="8" t="str">
        <f aca="false">IFERROR(INDEX(棚卸し入力!$A:$A,MATCH(13,棚卸し入力!$I:$I,0)),"")</f>
        <v/>
      </c>
    </row>
    <row r="15" customFormat="false" ht="15" hidden="false" customHeight="false" outlineLevel="0" collapsed="false">
      <c r="A15" s="15" t="str">
        <f aca="false">IF(C15="","",14)</f>
        <v/>
      </c>
      <c r="B15" s="8" t="str">
        <f aca="false">IFERROR(INDEX(棚卸し入力!$D:$D,MATCH(14,棚卸し入力!$I:$I,0)),"")</f>
        <v/>
      </c>
      <c r="C15" s="8" t="str">
        <f aca="false">IFERROR(INDEX(棚卸し入力!$B:$B,MATCH(14,棚卸し入力!$I:$I,0)),"")</f>
        <v/>
      </c>
      <c r="D15" s="15" t="str">
        <f aca="false">IFERROR(INDEX(棚卸し入力!$G:$G,MATCH(14,棚卸し入力!$I:$I,0)),"")</f>
        <v/>
      </c>
      <c r="E15" s="8" t="str">
        <f aca="false">IFERROR(INDEX(棚卸し入力!$C:$C,MATCH(14,棚卸し入力!$I:$I,0)),"")</f>
        <v/>
      </c>
      <c r="F15" s="8" t="str">
        <f aca="false">IFERROR(INDEX(棚卸し入力!$A:$A,MATCH(14,棚卸し入力!$I:$I,0)),"")</f>
        <v/>
      </c>
    </row>
    <row r="16" customFormat="false" ht="15" hidden="false" customHeight="false" outlineLevel="0" collapsed="false">
      <c r="A16" s="15" t="str">
        <f aca="false">IF(C16="","",15)</f>
        <v/>
      </c>
      <c r="B16" s="8" t="str">
        <f aca="false">IFERROR(INDEX(棚卸し入力!$D:$D,MATCH(15,棚卸し入力!$I:$I,0)),"")</f>
        <v/>
      </c>
      <c r="C16" s="8" t="str">
        <f aca="false">IFERROR(INDEX(棚卸し入力!$B:$B,MATCH(15,棚卸し入力!$I:$I,0)),"")</f>
        <v/>
      </c>
      <c r="D16" s="15" t="str">
        <f aca="false">IFERROR(INDEX(棚卸し入力!$G:$G,MATCH(15,棚卸し入力!$I:$I,0)),"")</f>
        <v/>
      </c>
      <c r="E16" s="8" t="str">
        <f aca="false">IFERROR(INDEX(棚卸し入力!$C:$C,MATCH(15,棚卸し入力!$I:$I,0)),"")</f>
        <v/>
      </c>
      <c r="F16" s="8" t="str">
        <f aca="false">IFERROR(INDEX(棚卸し入力!$A:$A,MATCH(15,棚卸し入力!$I:$I,0)),"")</f>
        <v/>
      </c>
    </row>
    <row r="17" customFormat="false" ht="15" hidden="false" customHeight="false" outlineLevel="0" collapsed="false">
      <c r="A17" s="15" t="str">
        <f aca="false">IF(C17="","",16)</f>
        <v/>
      </c>
      <c r="B17" s="8" t="str">
        <f aca="false">IFERROR(INDEX(棚卸し入力!$D:$D,MATCH(16,棚卸し入力!$I:$I,0)),"")</f>
        <v/>
      </c>
      <c r="C17" s="8" t="str">
        <f aca="false">IFERROR(INDEX(棚卸し入力!$B:$B,MATCH(16,棚卸し入力!$I:$I,0)),"")</f>
        <v/>
      </c>
      <c r="D17" s="15" t="str">
        <f aca="false">IFERROR(INDEX(棚卸し入力!$G:$G,MATCH(16,棚卸し入力!$I:$I,0)),"")</f>
        <v/>
      </c>
      <c r="E17" s="8" t="str">
        <f aca="false">IFERROR(INDEX(棚卸し入力!$C:$C,MATCH(16,棚卸し入力!$I:$I,0)),"")</f>
        <v/>
      </c>
      <c r="F17" s="8" t="str">
        <f aca="false">IFERROR(INDEX(棚卸し入力!$A:$A,MATCH(16,棚卸し入力!$I:$I,0)),"")</f>
        <v/>
      </c>
    </row>
    <row r="18" customFormat="false" ht="15" hidden="false" customHeight="false" outlineLevel="0" collapsed="false">
      <c r="A18" s="15" t="str">
        <f aca="false">IF(C18="","",17)</f>
        <v/>
      </c>
      <c r="B18" s="8" t="str">
        <f aca="false">IFERROR(INDEX(棚卸し入力!$D:$D,MATCH(17,棚卸し入力!$I:$I,0)),"")</f>
        <v/>
      </c>
      <c r="C18" s="8" t="str">
        <f aca="false">IFERROR(INDEX(棚卸し入力!$B:$B,MATCH(17,棚卸し入力!$I:$I,0)),"")</f>
        <v/>
      </c>
      <c r="D18" s="15" t="str">
        <f aca="false">IFERROR(INDEX(棚卸し入力!$G:$G,MATCH(17,棚卸し入力!$I:$I,0)),"")</f>
        <v/>
      </c>
      <c r="E18" s="8" t="str">
        <f aca="false">IFERROR(INDEX(棚卸し入力!$C:$C,MATCH(17,棚卸し入力!$I:$I,0)),"")</f>
        <v/>
      </c>
      <c r="F18" s="8" t="str">
        <f aca="false">IFERROR(INDEX(棚卸し入力!$A:$A,MATCH(17,棚卸し入力!$I:$I,0)),"")</f>
        <v/>
      </c>
    </row>
    <row r="19" customFormat="false" ht="15" hidden="false" customHeight="false" outlineLevel="0" collapsed="false">
      <c r="A19" s="15" t="str">
        <f aca="false">IF(C19="","",18)</f>
        <v/>
      </c>
      <c r="B19" s="8" t="str">
        <f aca="false">IFERROR(INDEX(棚卸し入力!$D:$D,MATCH(18,棚卸し入力!$I:$I,0)),"")</f>
        <v/>
      </c>
      <c r="C19" s="8" t="str">
        <f aca="false">IFERROR(INDEX(棚卸し入力!$B:$B,MATCH(18,棚卸し入力!$I:$I,0)),"")</f>
        <v/>
      </c>
      <c r="D19" s="15" t="str">
        <f aca="false">IFERROR(INDEX(棚卸し入力!$G:$G,MATCH(18,棚卸し入力!$I:$I,0)),"")</f>
        <v/>
      </c>
      <c r="E19" s="8" t="str">
        <f aca="false">IFERROR(INDEX(棚卸し入力!$C:$C,MATCH(18,棚卸し入力!$I:$I,0)),"")</f>
        <v/>
      </c>
      <c r="F19" s="8" t="str">
        <f aca="false">IFERROR(INDEX(棚卸し入力!$A:$A,MATCH(18,棚卸し入力!$I:$I,0)),"")</f>
        <v/>
      </c>
    </row>
    <row r="20" customFormat="false" ht="15" hidden="false" customHeight="false" outlineLevel="0" collapsed="false">
      <c r="A20" s="15" t="str">
        <f aca="false">IF(C20="","",19)</f>
        <v/>
      </c>
      <c r="B20" s="8" t="str">
        <f aca="false">IFERROR(INDEX(棚卸し入力!$D:$D,MATCH(19,棚卸し入力!$I:$I,0)),"")</f>
        <v/>
      </c>
      <c r="C20" s="8" t="str">
        <f aca="false">IFERROR(INDEX(棚卸し入力!$B:$B,MATCH(19,棚卸し入力!$I:$I,0)),"")</f>
        <v/>
      </c>
      <c r="D20" s="15" t="str">
        <f aca="false">IFERROR(INDEX(棚卸し入力!$G:$G,MATCH(19,棚卸し入力!$I:$I,0)),"")</f>
        <v/>
      </c>
      <c r="E20" s="8" t="str">
        <f aca="false">IFERROR(INDEX(棚卸し入力!$C:$C,MATCH(19,棚卸し入力!$I:$I,0)),"")</f>
        <v/>
      </c>
      <c r="F20" s="8" t="str">
        <f aca="false">IFERROR(INDEX(棚卸し入力!$A:$A,MATCH(19,棚卸し入力!$I:$I,0)),"")</f>
        <v/>
      </c>
    </row>
    <row r="21" customFormat="false" ht="15" hidden="false" customHeight="false" outlineLevel="0" collapsed="false">
      <c r="A21" s="15" t="str">
        <f aca="false">IF(C21="","",20)</f>
        <v/>
      </c>
      <c r="B21" s="8" t="str">
        <f aca="false">IFERROR(INDEX(棚卸し入力!$D:$D,MATCH(20,棚卸し入力!$I:$I,0)),"")</f>
        <v/>
      </c>
      <c r="C21" s="8" t="str">
        <f aca="false">IFERROR(INDEX(棚卸し入力!$B:$B,MATCH(20,棚卸し入力!$I:$I,0)),"")</f>
        <v/>
      </c>
      <c r="D21" s="15" t="str">
        <f aca="false">IFERROR(INDEX(棚卸し入力!$G:$G,MATCH(20,棚卸し入力!$I:$I,0)),"")</f>
        <v/>
      </c>
      <c r="E21" s="8" t="str">
        <f aca="false">IFERROR(INDEX(棚卸し入力!$C:$C,MATCH(20,棚卸し入力!$I:$I,0)),"")</f>
        <v/>
      </c>
      <c r="F21" s="8" t="str">
        <f aca="false">IFERROR(INDEX(棚卸し入力!$A:$A,MATCH(20,棚卸し入力!$I:$I,0)),"")</f>
        <v/>
      </c>
    </row>
    <row r="22" customFormat="false" ht="15" hidden="false" customHeight="false" outlineLevel="0" collapsed="false">
      <c r="A22" s="15" t="str">
        <f aca="false">IF(C22="","",21)</f>
        <v/>
      </c>
      <c r="B22" s="8" t="str">
        <f aca="false">IFERROR(INDEX(棚卸し入力!$D:$D,MATCH(21,棚卸し入力!$I:$I,0)),"")</f>
        <v/>
      </c>
      <c r="C22" s="8" t="str">
        <f aca="false">IFERROR(INDEX(棚卸し入力!$B:$B,MATCH(21,棚卸し入力!$I:$I,0)),"")</f>
        <v/>
      </c>
      <c r="D22" s="15" t="str">
        <f aca="false">IFERROR(INDEX(棚卸し入力!$G:$G,MATCH(21,棚卸し入力!$I:$I,0)),"")</f>
        <v/>
      </c>
      <c r="E22" s="8" t="str">
        <f aca="false">IFERROR(INDEX(棚卸し入力!$C:$C,MATCH(21,棚卸し入力!$I:$I,0)),"")</f>
        <v/>
      </c>
      <c r="F22" s="8" t="str">
        <f aca="false">IFERROR(INDEX(棚卸し入力!$A:$A,MATCH(21,棚卸し入力!$I:$I,0)),"")</f>
        <v/>
      </c>
    </row>
    <row r="23" customFormat="false" ht="15" hidden="false" customHeight="false" outlineLevel="0" collapsed="false">
      <c r="A23" s="15" t="str">
        <f aca="false">IF(C23="","",22)</f>
        <v/>
      </c>
      <c r="B23" s="8" t="str">
        <f aca="false">IFERROR(INDEX(棚卸し入力!$D:$D,MATCH(22,棚卸し入力!$I:$I,0)),"")</f>
        <v/>
      </c>
      <c r="C23" s="8" t="str">
        <f aca="false">IFERROR(INDEX(棚卸し入力!$B:$B,MATCH(22,棚卸し入力!$I:$I,0)),"")</f>
        <v/>
      </c>
      <c r="D23" s="15" t="str">
        <f aca="false">IFERROR(INDEX(棚卸し入力!$G:$G,MATCH(22,棚卸し入力!$I:$I,0)),"")</f>
        <v/>
      </c>
      <c r="E23" s="8" t="str">
        <f aca="false">IFERROR(INDEX(棚卸し入力!$C:$C,MATCH(22,棚卸し入力!$I:$I,0)),"")</f>
        <v/>
      </c>
      <c r="F23" s="8" t="str">
        <f aca="false">IFERROR(INDEX(棚卸し入力!$A:$A,MATCH(22,棚卸し入力!$I:$I,0)),"")</f>
        <v/>
      </c>
    </row>
    <row r="24" customFormat="false" ht="15" hidden="false" customHeight="false" outlineLevel="0" collapsed="false">
      <c r="A24" s="15" t="str">
        <f aca="false">IF(C24="","",23)</f>
        <v/>
      </c>
      <c r="B24" s="8" t="str">
        <f aca="false">IFERROR(INDEX(棚卸し入力!$D:$D,MATCH(23,棚卸し入力!$I:$I,0)),"")</f>
        <v/>
      </c>
      <c r="C24" s="8" t="str">
        <f aca="false">IFERROR(INDEX(棚卸し入力!$B:$B,MATCH(23,棚卸し入力!$I:$I,0)),"")</f>
        <v/>
      </c>
      <c r="D24" s="15" t="str">
        <f aca="false">IFERROR(INDEX(棚卸し入力!$G:$G,MATCH(23,棚卸し入力!$I:$I,0)),"")</f>
        <v/>
      </c>
      <c r="E24" s="8" t="str">
        <f aca="false">IFERROR(INDEX(棚卸し入力!$C:$C,MATCH(23,棚卸し入力!$I:$I,0)),"")</f>
        <v/>
      </c>
      <c r="F24" s="8" t="str">
        <f aca="false">IFERROR(INDEX(棚卸し入力!$A:$A,MATCH(23,棚卸し入力!$I:$I,0)),"")</f>
        <v/>
      </c>
    </row>
    <row r="25" customFormat="false" ht="15" hidden="false" customHeight="false" outlineLevel="0" collapsed="false">
      <c r="A25" s="15" t="str">
        <f aca="false">IF(C25="","",24)</f>
        <v/>
      </c>
      <c r="B25" s="8" t="str">
        <f aca="false">IFERROR(INDEX(棚卸し入力!$D:$D,MATCH(24,棚卸し入力!$I:$I,0)),"")</f>
        <v/>
      </c>
      <c r="C25" s="8" t="str">
        <f aca="false">IFERROR(INDEX(棚卸し入力!$B:$B,MATCH(24,棚卸し入力!$I:$I,0)),"")</f>
        <v/>
      </c>
      <c r="D25" s="15" t="str">
        <f aca="false">IFERROR(INDEX(棚卸し入力!$G:$G,MATCH(24,棚卸し入力!$I:$I,0)),"")</f>
        <v/>
      </c>
      <c r="E25" s="8" t="str">
        <f aca="false">IFERROR(INDEX(棚卸し入力!$C:$C,MATCH(24,棚卸し入力!$I:$I,0)),"")</f>
        <v/>
      </c>
      <c r="F25" s="8" t="str">
        <f aca="false">IFERROR(INDEX(棚卸し入力!$A:$A,MATCH(24,棚卸し入力!$I:$I,0)),"")</f>
        <v/>
      </c>
    </row>
    <row r="26" customFormat="false" ht="15" hidden="false" customHeight="false" outlineLevel="0" collapsed="false">
      <c r="A26" s="15" t="str">
        <f aca="false">IF(C26="","",25)</f>
        <v/>
      </c>
      <c r="B26" s="8" t="str">
        <f aca="false">IFERROR(INDEX(棚卸し入力!$D:$D,MATCH(25,棚卸し入力!$I:$I,0)),"")</f>
        <v/>
      </c>
      <c r="C26" s="8" t="str">
        <f aca="false">IFERROR(INDEX(棚卸し入力!$B:$B,MATCH(25,棚卸し入力!$I:$I,0)),"")</f>
        <v/>
      </c>
      <c r="D26" s="15" t="str">
        <f aca="false">IFERROR(INDEX(棚卸し入力!$G:$G,MATCH(25,棚卸し入力!$I:$I,0)),"")</f>
        <v/>
      </c>
      <c r="E26" s="8" t="str">
        <f aca="false">IFERROR(INDEX(棚卸し入力!$C:$C,MATCH(25,棚卸し入力!$I:$I,0)),"")</f>
        <v/>
      </c>
      <c r="F26" s="8" t="str">
        <f aca="false">IFERROR(INDEX(棚卸し入力!$A:$A,MATCH(25,棚卸し入力!$I:$I,0)),"")</f>
        <v/>
      </c>
    </row>
    <row r="27" customFormat="false" ht="15" hidden="false" customHeight="false" outlineLevel="0" collapsed="false">
      <c r="A27" s="15" t="str">
        <f aca="false">IF(C27="","",26)</f>
        <v/>
      </c>
      <c r="B27" s="8" t="str">
        <f aca="false">IFERROR(INDEX(棚卸し入力!$D:$D,MATCH(26,棚卸し入力!$I:$I,0)),"")</f>
        <v/>
      </c>
      <c r="C27" s="8" t="str">
        <f aca="false">IFERROR(INDEX(棚卸し入力!$B:$B,MATCH(26,棚卸し入力!$I:$I,0)),"")</f>
        <v/>
      </c>
      <c r="D27" s="15" t="str">
        <f aca="false">IFERROR(INDEX(棚卸し入力!$G:$G,MATCH(26,棚卸し入力!$I:$I,0)),"")</f>
        <v/>
      </c>
      <c r="E27" s="8" t="str">
        <f aca="false">IFERROR(INDEX(棚卸し入力!$C:$C,MATCH(26,棚卸し入力!$I:$I,0)),"")</f>
        <v/>
      </c>
      <c r="F27" s="8" t="str">
        <f aca="false">IFERROR(INDEX(棚卸し入力!$A:$A,MATCH(26,棚卸し入力!$I:$I,0)),"")</f>
        <v/>
      </c>
    </row>
    <row r="28" customFormat="false" ht="15" hidden="false" customHeight="false" outlineLevel="0" collapsed="false">
      <c r="A28" s="15" t="str">
        <f aca="false">IF(C28="","",27)</f>
        <v/>
      </c>
      <c r="B28" s="8" t="str">
        <f aca="false">IFERROR(INDEX(棚卸し入力!$D:$D,MATCH(27,棚卸し入力!$I:$I,0)),"")</f>
        <v/>
      </c>
      <c r="C28" s="8" t="str">
        <f aca="false">IFERROR(INDEX(棚卸し入力!$B:$B,MATCH(27,棚卸し入力!$I:$I,0)),"")</f>
        <v/>
      </c>
      <c r="D28" s="15" t="str">
        <f aca="false">IFERROR(INDEX(棚卸し入力!$G:$G,MATCH(27,棚卸し入力!$I:$I,0)),"")</f>
        <v/>
      </c>
      <c r="E28" s="8" t="str">
        <f aca="false">IFERROR(INDEX(棚卸し入力!$C:$C,MATCH(27,棚卸し入力!$I:$I,0)),"")</f>
        <v/>
      </c>
      <c r="F28" s="8" t="str">
        <f aca="false">IFERROR(INDEX(棚卸し入力!$A:$A,MATCH(27,棚卸し入力!$I:$I,0)),"")</f>
        <v/>
      </c>
    </row>
    <row r="29" customFormat="false" ht="15" hidden="false" customHeight="false" outlineLevel="0" collapsed="false">
      <c r="A29" s="15" t="str">
        <f aca="false">IF(C29="","",28)</f>
        <v/>
      </c>
      <c r="B29" s="8" t="str">
        <f aca="false">IFERROR(INDEX(棚卸し入力!$D:$D,MATCH(28,棚卸し入力!$I:$I,0)),"")</f>
        <v/>
      </c>
      <c r="C29" s="8" t="str">
        <f aca="false">IFERROR(INDEX(棚卸し入力!$B:$B,MATCH(28,棚卸し入力!$I:$I,0)),"")</f>
        <v/>
      </c>
      <c r="D29" s="15" t="str">
        <f aca="false">IFERROR(INDEX(棚卸し入力!$G:$G,MATCH(28,棚卸し入力!$I:$I,0)),"")</f>
        <v/>
      </c>
      <c r="E29" s="8" t="str">
        <f aca="false">IFERROR(INDEX(棚卸し入力!$C:$C,MATCH(28,棚卸し入力!$I:$I,0)),"")</f>
        <v/>
      </c>
      <c r="F29" s="8" t="str">
        <f aca="false">IFERROR(INDEX(棚卸し入力!$A:$A,MATCH(28,棚卸し入力!$I:$I,0)),"")</f>
        <v/>
      </c>
    </row>
    <row r="30" customFormat="false" ht="15" hidden="false" customHeight="false" outlineLevel="0" collapsed="false">
      <c r="A30" s="15" t="str">
        <f aca="false">IF(C30="","",29)</f>
        <v/>
      </c>
      <c r="B30" s="8" t="str">
        <f aca="false">IFERROR(INDEX(棚卸し入力!$D:$D,MATCH(29,棚卸し入力!$I:$I,0)),"")</f>
        <v/>
      </c>
      <c r="C30" s="8" t="str">
        <f aca="false">IFERROR(INDEX(棚卸し入力!$B:$B,MATCH(29,棚卸し入力!$I:$I,0)),"")</f>
        <v/>
      </c>
      <c r="D30" s="15" t="str">
        <f aca="false">IFERROR(INDEX(棚卸し入力!$G:$G,MATCH(29,棚卸し入力!$I:$I,0)),"")</f>
        <v/>
      </c>
      <c r="E30" s="8" t="str">
        <f aca="false">IFERROR(INDEX(棚卸し入力!$C:$C,MATCH(29,棚卸し入力!$I:$I,0)),"")</f>
        <v/>
      </c>
      <c r="F30" s="8" t="str">
        <f aca="false">IFERROR(INDEX(棚卸し入力!$A:$A,MATCH(29,棚卸し入力!$I:$I,0)),"")</f>
        <v/>
      </c>
    </row>
    <row r="31" customFormat="false" ht="15" hidden="false" customHeight="false" outlineLevel="0" collapsed="false">
      <c r="A31" s="15" t="str">
        <f aca="false">IF(C31="","",30)</f>
        <v/>
      </c>
      <c r="B31" s="8" t="str">
        <f aca="false">IFERROR(INDEX(棚卸し入力!$D:$D,MATCH(30,棚卸し入力!$I:$I,0)),"")</f>
        <v/>
      </c>
      <c r="C31" s="8" t="str">
        <f aca="false">IFERROR(INDEX(棚卸し入力!$B:$B,MATCH(30,棚卸し入力!$I:$I,0)),"")</f>
        <v/>
      </c>
      <c r="D31" s="15" t="str">
        <f aca="false">IFERROR(INDEX(棚卸し入力!$G:$G,MATCH(30,棚卸し入力!$I:$I,0)),"")</f>
        <v/>
      </c>
      <c r="E31" s="8" t="str">
        <f aca="false">IFERROR(INDEX(棚卸し入力!$C:$C,MATCH(30,棚卸し入力!$I:$I,0)),"")</f>
        <v/>
      </c>
      <c r="F31" s="8" t="str">
        <f aca="false">IFERROR(INDEX(棚卸し入力!$A:$A,MATCH(30,棚卸し入力!$I:$I,0)),"")</f>
        <v/>
      </c>
    </row>
    <row r="32" customFormat="false" ht="15" hidden="false" customHeight="false" outlineLevel="0" collapsed="false">
      <c r="A32" s="15" t="str">
        <f aca="false">IF(C32="","",31)</f>
        <v/>
      </c>
      <c r="B32" s="8" t="str">
        <f aca="false">IFERROR(INDEX(棚卸し入力!$D:$D,MATCH(31,棚卸し入力!$I:$I,0)),"")</f>
        <v/>
      </c>
      <c r="C32" s="8" t="str">
        <f aca="false">IFERROR(INDEX(棚卸し入力!$B:$B,MATCH(31,棚卸し入力!$I:$I,0)),"")</f>
        <v/>
      </c>
      <c r="D32" s="15" t="str">
        <f aca="false">IFERROR(INDEX(棚卸し入力!$G:$G,MATCH(31,棚卸し入力!$I:$I,0)),"")</f>
        <v/>
      </c>
      <c r="E32" s="8" t="str">
        <f aca="false">IFERROR(INDEX(棚卸し入力!$C:$C,MATCH(31,棚卸し入力!$I:$I,0)),"")</f>
        <v/>
      </c>
      <c r="F32" s="8" t="str">
        <f aca="false">IFERROR(INDEX(棚卸し入力!$A:$A,MATCH(31,棚卸し入力!$I:$I,0)),"")</f>
        <v/>
      </c>
    </row>
    <row r="33" customFormat="false" ht="15" hidden="false" customHeight="false" outlineLevel="0" collapsed="false">
      <c r="A33" s="15" t="str">
        <f aca="false">IF(C33="","",32)</f>
        <v/>
      </c>
      <c r="B33" s="8" t="str">
        <f aca="false">IFERROR(INDEX(棚卸し入力!$D:$D,MATCH(32,棚卸し入力!$I:$I,0)),"")</f>
        <v/>
      </c>
      <c r="C33" s="8" t="str">
        <f aca="false">IFERROR(INDEX(棚卸し入力!$B:$B,MATCH(32,棚卸し入力!$I:$I,0)),"")</f>
        <v/>
      </c>
      <c r="D33" s="15" t="str">
        <f aca="false">IFERROR(INDEX(棚卸し入力!$G:$G,MATCH(32,棚卸し入力!$I:$I,0)),"")</f>
        <v/>
      </c>
      <c r="E33" s="8" t="str">
        <f aca="false">IFERROR(INDEX(棚卸し入力!$C:$C,MATCH(32,棚卸し入力!$I:$I,0)),"")</f>
        <v/>
      </c>
      <c r="F33" s="8" t="str">
        <f aca="false">IFERROR(INDEX(棚卸し入力!$A:$A,MATCH(32,棚卸し入力!$I:$I,0)),"")</f>
        <v/>
      </c>
    </row>
    <row r="34" customFormat="false" ht="15" hidden="false" customHeight="false" outlineLevel="0" collapsed="false">
      <c r="A34" s="15" t="str">
        <f aca="false">IF(C34="","",33)</f>
        <v/>
      </c>
      <c r="B34" s="8" t="str">
        <f aca="false">IFERROR(INDEX(棚卸し入力!$D:$D,MATCH(33,棚卸し入力!$I:$I,0)),"")</f>
        <v/>
      </c>
      <c r="C34" s="8" t="str">
        <f aca="false">IFERROR(INDEX(棚卸し入力!$B:$B,MATCH(33,棚卸し入力!$I:$I,0)),"")</f>
        <v/>
      </c>
      <c r="D34" s="15" t="str">
        <f aca="false">IFERROR(INDEX(棚卸し入力!$G:$G,MATCH(33,棚卸し入力!$I:$I,0)),"")</f>
        <v/>
      </c>
      <c r="E34" s="8" t="str">
        <f aca="false">IFERROR(INDEX(棚卸し入力!$C:$C,MATCH(33,棚卸し入力!$I:$I,0)),"")</f>
        <v/>
      </c>
      <c r="F34" s="8" t="str">
        <f aca="false">IFERROR(INDEX(棚卸し入力!$A:$A,MATCH(33,棚卸し入力!$I:$I,0)),"")</f>
        <v/>
      </c>
    </row>
    <row r="35" customFormat="false" ht="15" hidden="false" customHeight="false" outlineLevel="0" collapsed="false">
      <c r="A35" s="15" t="str">
        <f aca="false">IF(C35="","",34)</f>
        <v/>
      </c>
      <c r="B35" s="8" t="str">
        <f aca="false">IFERROR(INDEX(棚卸し入力!$D:$D,MATCH(34,棚卸し入力!$I:$I,0)),"")</f>
        <v/>
      </c>
      <c r="C35" s="8" t="str">
        <f aca="false">IFERROR(INDEX(棚卸し入力!$B:$B,MATCH(34,棚卸し入力!$I:$I,0)),"")</f>
        <v/>
      </c>
      <c r="D35" s="15" t="str">
        <f aca="false">IFERROR(INDEX(棚卸し入力!$G:$G,MATCH(34,棚卸し入力!$I:$I,0)),"")</f>
        <v/>
      </c>
      <c r="E35" s="8" t="str">
        <f aca="false">IFERROR(INDEX(棚卸し入力!$C:$C,MATCH(34,棚卸し入力!$I:$I,0)),"")</f>
        <v/>
      </c>
      <c r="F35" s="8" t="str">
        <f aca="false">IFERROR(INDEX(棚卸し入力!$A:$A,MATCH(34,棚卸し入力!$I:$I,0)),"")</f>
        <v/>
      </c>
    </row>
    <row r="36" customFormat="false" ht="15" hidden="false" customHeight="false" outlineLevel="0" collapsed="false">
      <c r="A36" s="15" t="str">
        <f aca="false">IF(C36="","",35)</f>
        <v/>
      </c>
      <c r="B36" s="8" t="str">
        <f aca="false">IFERROR(INDEX(棚卸し入力!$D:$D,MATCH(35,棚卸し入力!$I:$I,0)),"")</f>
        <v/>
      </c>
      <c r="C36" s="8" t="str">
        <f aca="false">IFERROR(INDEX(棚卸し入力!$B:$B,MATCH(35,棚卸し入力!$I:$I,0)),"")</f>
        <v/>
      </c>
      <c r="D36" s="15" t="str">
        <f aca="false">IFERROR(INDEX(棚卸し入力!$G:$G,MATCH(35,棚卸し入力!$I:$I,0)),"")</f>
        <v/>
      </c>
      <c r="E36" s="8" t="str">
        <f aca="false">IFERROR(INDEX(棚卸し入力!$C:$C,MATCH(35,棚卸し入力!$I:$I,0)),"")</f>
        <v/>
      </c>
      <c r="F36" s="8" t="str">
        <f aca="false">IFERROR(INDEX(棚卸し入力!$A:$A,MATCH(35,棚卸し入力!$I:$I,0)),"")</f>
        <v/>
      </c>
    </row>
    <row r="37" customFormat="false" ht="15" hidden="false" customHeight="false" outlineLevel="0" collapsed="false">
      <c r="A37" s="15" t="str">
        <f aca="false">IF(C37="","",36)</f>
        <v/>
      </c>
      <c r="B37" s="8" t="str">
        <f aca="false">IFERROR(INDEX(棚卸し入力!$D:$D,MATCH(36,棚卸し入力!$I:$I,0)),"")</f>
        <v/>
      </c>
      <c r="C37" s="8" t="str">
        <f aca="false">IFERROR(INDEX(棚卸し入力!$B:$B,MATCH(36,棚卸し入力!$I:$I,0)),"")</f>
        <v/>
      </c>
      <c r="D37" s="15" t="str">
        <f aca="false">IFERROR(INDEX(棚卸し入力!$G:$G,MATCH(36,棚卸し入力!$I:$I,0)),"")</f>
        <v/>
      </c>
      <c r="E37" s="8" t="str">
        <f aca="false">IFERROR(INDEX(棚卸し入力!$C:$C,MATCH(36,棚卸し入力!$I:$I,0)),"")</f>
        <v/>
      </c>
      <c r="F37" s="8" t="str">
        <f aca="false">IFERROR(INDEX(棚卸し入力!$A:$A,MATCH(36,棚卸し入力!$I:$I,0)),"")</f>
        <v/>
      </c>
    </row>
    <row r="38" customFormat="false" ht="15" hidden="false" customHeight="false" outlineLevel="0" collapsed="false">
      <c r="A38" s="15" t="str">
        <f aca="false">IF(C38="","",37)</f>
        <v/>
      </c>
      <c r="B38" s="8" t="str">
        <f aca="false">IFERROR(INDEX(棚卸し入力!$D:$D,MATCH(37,棚卸し入力!$I:$I,0)),"")</f>
        <v/>
      </c>
      <c r="C38" s="8" t="str">
        <f aca="false">IFERROR(INDEX(棚卸し入力!$B:$B,MATCH(37,棚卸し入力!$I:$I,0)),"")</f>
        <v/>
      </c>
      <c r="D38" s="15" t="str">
        <f aca="false">IFERROR(INDEX(棚卸し入力!$G:$G,MATCH(37,棚卸し入力!$I:$I,0)),"")</f>
        <v/>
      </c>
      <c r="E38" s="8" t="str">
        <f aca="false">IFERROR(INDEX(棚卸し入力!$C:$C,MATCH(37,棚卸し入力!$I:$I,0)),"")</f>
        <v/>
      </c>
      <c r="F38" s="8" t="str">
        <f aca="false">IFERROR(INDEX(棚卸し入力!$A:$A,MATCH(37,棚卸し入力!$I:$I,0)),"")</f>
        <v/>
      </c>
    </row>
    <row r="39" customFormat="false" ht="15" hidden="false" customHeight="false" outlineLevel="0" collapsed="false">
      <c r="A39" s="15" t="str">
        <f aca="false">IF(C39="","",38)</f>
        <v/>
      </c>
      <c r="B39" s="8" t="str">
        <f aca="false">IFERROR(INDEX(棚卸し入力!$D:$D,MATCH(38,棚卸し入力!$I:$I,0)),"")</f>
        <v/>
      </c>
      <c r="C39" s="8" t="str">
        <f aca="false">IFERROR(INDEX(棚卸し入力!$B:$B,MATCH(38,棚卸し入力!$I:$I,0)),"")</f>
        <v/>
      </c>
      <c r="D39" s="15" t="str">
        <f aca="false">IFERROR(INDEX(棚卸し入力!$G:$G,MATCH(38,棚卸し入力!$I:$I,0)),"")</f>
        <v/>
      </c>
      <c r="E39" s="8" t="str">
        <f aca="false">IFERROR(INDEX(棚卸し入力!$C:$C,MATCH(38,棚卸し入力!$I:$I,0)),"")</f>
        <v/>
      </c>
      <c r="F39" s="8" t="str">
        <f aca="false">IFERROR(INDEX(棚卸し入力!$A:$A,MATCH(38,棚卸し入力!$I:$I,0)),"")</f>
        <v/>
      </c>
    </row>
    <row r="40" customFormat="false" ht="15" hidden="false" customHeight="false" outlineLevel="0" collapsed="false">
      <c r="A40" s="15" t="str">
        <f aca="false">IF(C40="","",39)</f>
        <v/>
      </c>
      <c r="B40" s="8" t="str">
        <f aca="false">IFERROR(INDEX(棚卸し入力!$D:$D,MATCH(39,棚卸し入力!$I:$I,0)),"")</f>
        <v/>
      </c>
      <c r="C40" s="8" t="str">
        <f aca="false">IFERROR(INDEX(棚卸し入力!$B:$B,MATCH(39,棚卸し入力!$I:$I,0)),"")</f>
        <v/>
      </c>
      <c r="D40" s="15" t="str">
        <f aca="false">IFERROR(INDEX(棚卸し入力!$G:$G,MATCH(39,棚卸し入力!$I:$I,0)),"")</f>
        <v/>
      </c>
      <c r="E40" s="8" t="str">
        <f aca="false">IFERROR(INDEX(棚卸し入力!$C:$C,MATCH(39,棚卸し入力!$I:$I,0)),"")</f>
        <v/>
      </c>
      <c r="F40" s="8" t="str">
        <f aca="false">IFERROR(INDEX(棚卸し入力!$A:$A,MATCH(39,棚卸し入力!$I:$I,0)),"")</f>
        <v/>
      </c>
    </row>
    <row r="41" customFormat="false" ht="15" hidden="false" customHeight="false" outlineLevel="0" collapsed="false">
      <c r="A41" s="15" t="str">
        <f aca="false">IF(C41="","",40)</f>
        <v/>
      </c>
      <c r="B41" s="8" t="str">
        <f aca="false">IFERROR(INDEX(棚卸し入力!$D:$D,MATCH(40,棚卸し入力!$I:$I,0)),"")</f>
        <v/>
      </c>
      <c r="C41" s="8" t="str">
        <f aca="false">IFERROR(INDEX(棚卸し入力!$B:$B,MATCH(40,棚卸し入力!$I:$I,0)),"")</f>
        <v/>
      </c>
      <c r="D41" s="15" t="str">
        <f aca="false">IFERROR(INDEX(棚卸し入力!$G:$G,MATCH(40,棚卸し入力!$I:$I,0)),"")</f>
        <v/>
      </c>
      <c r="E41" s="8" t="str">
        <f aca="false">IFERROR(INDEX(棚卸し入力!$C:$C,MATCH(40,棚卸し入力!$I:$I,0)),"")</f>
        <v/>
      </c>
      <c r="F41" s="8" t="str">
        <f aca="false">IFERROR(INDEX(棚卸し入力!$A:$A,MATCH(40,棚卸し入力!$I:$I,0)),"")</f>
        <v/>
      </c>
    </row>
    <row r="42" customFormat="false" ht="15" hidden="false" customHeight="false" outlineLevel="0" collapsed="false">
      <c r="A42" s="15" t="str">
        <f aca="false">IF(C42="","",41)</f>
        <v/>
      </c>
      <c r="B42" s="8" t="str">
        <f aca="false">IFERROR(INDEX(棚卸し入力!$D:$D,MATCH(41,棚卸し入力!$I:$I,0)),"")</f>
        <v/>
      </c>
      <c r="C42" s="8" t="str">
        <f aca="false">IFERROR(INDEX(棚卸し入力!$B:$B,MATCH(41,棚卸し入力!$I:$I,0)),"")</f>
        <v/>
      </c>
      <c r="D42" s="15" t="str">
        <f aca="false">IFERROR(INDEX(棚卸し入力!$G:$G,MATCH(41,棚卸し入力!$I:$I,0)),"")</f>
        <v/>
      </c>
      <c r="E42" s="8" t="str">
        <f aca="false">IFERROR(INDEX(棚卸し入力!$C:$C,MATCH(41,棚卸し入力!$I:$I,0)),"")</f>
        <v/>
      </c>
      <c r="F42" s="8" t="str">
        <f aca="false">IFERROR(INDEX(棚卸し入力!$A:$A,MATCH(41,棚卸し入力!$I:$I,0)),"")</f>
        <v/>
      </c>
    </row>
    <row r="43" customFormat="false" ht="15" hidden="false" customHeight="false" outlineLevel="0" collapsed="false">
      <c r="A43" s="15" t="str">
        <f aca="false">IF(C43="","",42)</f>
        <v/>
      </c>
      <c r="B43" s="8" t="str">
        <f aca="false">IFERROR(INDEX(棚卸し入力!$D:$D,MATCH(42,棚卸し入力!$I:$I,0)),"")</f>
        <v/>
      </c>
      <c r="C43" s="8" t="str">
        <f aca="false">IFERROR(INDEX(棚卸し入力!$B:$B,MATCH(42,棚卸し入力!$I:$I,0)),"")</f>
        <v/>
      </c>
      <c r="D43" s="15" t="str">
        <f aca="false">IFERROR(INDEX(棚卸し入力!$G:$G,MATCH(42,棚卸し入力!$I:$I,0)),"")</f>
        <v/>
      </c>
      <c r="E43" s="8" t="str">
        <f aca="false">IFERROR(INDEX(棚卸し入力!$C:$C,MATCH(42,棚卸し入力!$I:$I,0)),"")</f>
        <v/>
      </c>
      <c r="F43" s="8" t="str">
        <f aca="false">IFERROR(INDEX(棚卸し入力!$A:$A,MATCH(42,棚卸し入力!$I:$I,0)),"")</f>
        <v/>
      </c>
    </row>
    <row r="44" customFormat="false" ht="15" hidden="false" customHeight="false" outlineLevel="0" collapsed="false">
      <c r="A44" s="15" t="str">
        <f aca="false">IF(C44="","",43)</f>
        <v/>
      </c>
      <c r="B44" s="8" t="str">
        <f aca="false">IFERROR(INDEX(棚卸し入力!$D:$D,MATCH(43,棚卸し入力!$I:$I,0)),"")</f>
        <v/>
      </c>
      <c r="C44" s="8" t="str">
        <f aca="false">IFERROR(INDEX(棚卸し入力!$B:$B,MATCH(43,棚卸し入力!$I:$I,0)),"")</f>
        <v/>
      </c>
      <c r="D44" s="15" t="str">
        <f aca="false">IFERROR(INDEX(棚卸し入力!$G:$G,MATCH(43,棚卸し入力!$I:$I,0)),"")</f>
        <v/>
      </c>
      <c r="E44" s="8" t="str">
        <f aca="false">IFERROR(INDEX(棚卸し入力!$C:$C,MATCH(43,棚卸し入力!$I:$I,0)),"")</f>
        <v/>
      </c>
      <c r="F44" s="8" t="str">
        <f aca="false">IFERROR(INDEX(棚卸し入力!$A:$A,MATCH(43,棚卸し入力!$I:$I,0)),"")</f>
        <v/>
      </c>
    </row>
    <row r="45" customFormat="false" ht="15" hidden="false" customHeight="false" outlineLevel="0" collapsed="false">
      <c r="A45" s="15" t="str">
        <f aca="false">IF(C45="","",44)</f>
        <v/>
      </c>
      <c r="B45" s="8" t="str">
        <f aca="false">IFERROR(INDEX(棚卸し入力!$D:$D,MATCH(44,棚卸し入力!$I:$I,0)),"")</f>
        <v/>
      </c>
      <c r="C45" s="8" t="str">
        <f aca="false">IFERROR(INDEX(棚卸し入力!$B:$B,MATCH(44,棚卸し入力!$I:$I,0)),"")</f>
        <v/>
      </c>
      <c r="D45" s="15" t="str">
        <f aca="false">IFERROR(INDEX(棚卸し入力!$G:$G,MATCH(44,棚卸し入力!$I:$I,0)),"")</f>
        <v/>
      </c>
      <c r="E45" s="8" t="str">
        <f aca="false">IFERROR(INDEX(棚卸し入力!$C:$C,MATCH(44,棚卸し入力!$I:$I,0)),"")</f>
        <v/>
      </c>
      <c r="F45" s="8" t="str">
        <f aca="false">IFERROR(INDEX(棚卸し入力!$A:$A,MATCH(44,棚卸し入力!$I:$I,0)),"")</f>
        <v/>
      </c>
    </row>
    <row r="46" customFormat="false" ht="15" hidden="false" customHeight="false" outlineLevel="0" collapsed="false">
      <c r="A46" s="15" t="str">
        <f aca="false">IF(C46="","",45)</f>
        <v/>
      </c>
      <c r="B46" s="8" t="str">
        <f aca="false">IFERROR(INDEX(棚卸し入力!$D:$D,MATCH(45,棚卸し入力!$I:$I,0)),"")</f>
        <v/>
      </c>
      <c r="C46" s="8" t="str">
        <f aca="false">IFERROR(INDEX(棚卸し入力!$B:$B,MATCH(45,棚卸し入力!$I:$I,0)),"")</f>
        <v/>
      </c>
      <c r="D46" s="15" t="str">
        <f aca="false">IFERROR(INDEX(棚卸し入力!$G:$G,MATCH(45,棚卸し入力!$I:$I,0)),"")</f>
        <v/>
      </c>
      <c r="E46" s="8" t="str">
        <f aca="false">IFERROR(INDEX(棚卸し入力!$C:$C,MATCH(45,棚卸し入力!$I:$I,0)),"")</f>
        <v/>
      </c>
      <c r="F46" s="8" t="str">
        <f aca="false">IFERROR(INDEX(棚卸し入力!$A:$A,MATCH(45,棚卸し入力!$I:$I,0)),"")</f>
        <v/>
      </c>
    </row>
    <row r="47" customFormat="false" ht="15" hidden="false" customHeight="false" outlineLevel="0" collapsed="false">
      <c r="A47" s="15" t="str">
        <f aca="false">IF(C47="","",46)</f>
        <v/>
      </c>
      <c r="B47" s="8" t="str">
        <f aca="false">IFERROR(INDEX(棚卸し入力!$D:$D,MATCH(46,棚卸し入力!$I:$I,0)),"")</f>
        <v/>
      </c>
      <c r="C47" s="8" t="str">
        <f aca="false">IFERROR(INDEX(棚卸し入力!$B:$B,MATCH(46,棚卸し入力!$I:$I,0)),"")</f>
        <v/>
      </c>
      <c r="D47" s="15" t="str">
        <f aca="false">IFERROR(INDEX(棚卸し入力!$G:$G,MATCH(46,棚卸し入力!$I:$I,0)),"")</f>
        <v/>
      </c>
      <c r="E47" s="8" t="str">
        <f aca="false">IFERROR(INDEX(棚卸し入力!$C:$C,MATCH(46,棚卸し入力!$I:$I,0)),"")</f>
        <v/>
      </c>
      <c r="F47" s="8" t="str">
        <f aca="false">IFERROR(INDEX(棚卸し入力!$A:$A,MATCH(46,棚卸し入力!$I:$I,0)),"")</f>
        <v/>
      </c>
    </row>
    <row r="48" customFormat="false" ht="15" hidden="false" customHeight="false" outlineLevel="0" collapsed="false">
      <c r="A48" s="15" t="str">
        <f aca="false">IF(C48="","",47)</f>
        <v/>
      </c>
      <c r="B48" s="8" t="str">
        <f aca="false">IFERROR(INDEX(棚卸し入力!$D:$D,MATCH(47,棚卸し入力!$I:$I,0)),"")</f>
        <v/>
      </c>
      <c r="C48" s="8" t="str">
        <f aca="false">IFERROR(INDEX(棚卸し入力!$B:$B,MATCH(47,棚卸し入力!$I:$I,0)),"")</f>
        <v/>
      </c>
      <c r="D48" s="15" t="str">
        <f aca="false">IFERROR(INDEX(棚卸し入力!$G:$G,MATCH(47,棚卸し入力!$I:$I,0)),"")</f>
        <v/>
      </c>
      <c r="E48" s="8" t="str">
        <f aca="false">IFERROR(INDEX(棚卸し入力!$C:$C,MATCH(47,棚卸し入力!$I:$I,0)),"")</f>
        <v/>
      </c>
      <c r="F48" s="8" t="str">
        <f aca="false">IFERROR(INDEX(棚卸し入力!$A:$A,MATCH(47,棚卸し入力!$I:$I,0)),"")</f>
        <v/>
      </c>
    </row>
    <row r="49" customFormat="false" ht="15" hidden="false" customHeight="false" outlineLevel="0" collapsed="false">
      <c r="A49" s="15" t="str">
        <f aca="false">IF(C49="","",48)</f>
        <v/>
      </c>
      <c r="B49" s="8" t="str">
        <f aca="false">IFERROR(INDEX(棚卸し入力!$D:$D,MATCH(48,棚卸し入力!$I:$I,0)),"")</f>
        <v/>
      </c>
      <c r="C49" s="8" t="str">
        <f aca="false">IFERROR(INDEX(棚卸し入力!$B:$B,MATCH(48,棚卸し入力!$I:$I,0)),"")</f>
        <v/>
      </c>
      <c r="D49" s="15" t="str">
        <f aca="false">IFERROR(INDEX(棚卸し入力!$G:$G,MATCH(48,棚卸し入力!$I:$I,0)),"")</f>
        <v/>
      </c>
      <c r="E49" s="8" t="str">
        <f aca="false">IFERROR(INDEX(棚卸し入力!$C:$C,MATCH(48,棚卸し入力!$I:$I,0)),"")</f>
        <v/>
      </c>
      <c r="F49" s="8" t="str">
        <f aca="false">IFERROR(INDEX(棚卸し入力!$A:$A,MATCH(48,棚卸し入力!$I:$I,0)),"")</f>
        <v/>
      </c>
    </row>
    <row r="50" customFormat="false" ht="15" hidden="false" customHeight="false" outlineLevel="0" collapsed="false">
      <c r="A50" s="15" t="str">
        <f aca="false">IF(C50="","",49)</f>
        <v/>
      </c>
      <c r="B50" s="8" t="str">
        <f aca="false">IFERROR(INDEX(棚卸し入力!$D:$D,MATCH(49,棚卸し入力!$I:$I,0)),"")</f>
        <v/>
      </c>
      <c r="C50" s="8" t="str">
        <f aca="false">IFERROR(INDEX(棚卸し入力!$B:$B,MATCH(49,棚卸し入力!$I:$I,0)),"")</f>
        <v/>
      </c>
      <c r="D50" s="15" t="str">
        <f aca="false">IFERROR(INDEX(棚卸し入力!$G:$G,MATCH(49,棚卸し入力!$I:$I,0)),"")</f>
        <v/>
      </c>
      <c r="E50" s="8" t="str">
        <f aca="false">IFERROR(INDEX(棚卸し入力!$C:$C,MATCH(49,棚卸し入力!$I:$I,0)),"")</f>
        <v/>
      </c>
      <c r="F50" s="8" t="str">
        <f aca="false">IFERROR(INDEX(棚卸し入力!$A:$A,MATCH(49,棚卸し入力!$I:$I,0)),"")</f>
        <v/>
      </c>
    </row>
    <row r="51" customFormat="false" ht="15" hidden="false" customHeight="false" outlineLevel="0" collapsed="false">
      <c r="A51" s="15" t="str">
        <f aca="false">IF(C51="","",50)</f>
        <v/>
      </c>
      <c r="B51" s="8" t="str">
        <f aca="false">IFERROR(INDEX(棚卸し入力!$D:$D,MATCH(50,棚卸し入力!$I:$I,0)),"")</f>
        <v/>
      </c>
      <c r="C51" s="8" t="str">
        <f aca="false">IFERROR(INDEX(棚卸し入力!$B:$B,MATCH(50,棚卸し入力!$I:$I,0)),"")</f>
        <v/>
      </c>
      <c r="D51" s="15" t="str">
        <f aca="false">IFERROR(INDEX(棚卸し入力!$G:$G,MATCH(50,棚卸し入力!$I:$I,0)),"")</f>
        <v/>
      </c>
      <c r="E51" s="8" t="str">
        <f aca="false">IFERROR(INDEX(棚卸し入力!$C:$C,MATCH(50,棚卸し入力!$I:$I,0)),"")</f>
        <v/>
      </c>
      <c r="F51" s="8" t="str">
        <f aca="false">IFERROR(INDEX(棚卸し入力!$A:$A,MATCH(50,棚卸し入力!$I:$I,0)),"")</f>
        <v/>
      </c>
    </row>
    <row r="52" customFormat="false" ht="15" hidden="false" customHeight="false" outlineLevel="0" collapsed="false">
      <c r="A52" s="15" t="str">
        <f aca="false">IF(C52="","",51)</f>
        <v/>
      </c>
      <c r="B52" s="8" t="str">
        <f aca="false">IFERROR(INDEX(棚卸し入力!$D:$D,MATCH(51,棚卸し入力!$I:$I,0)),"")</f>
        <v/>
      </c>
      <c r="C52" s="8" t="str">
        <f aca="false">IFERROR(INDEX(棚卸し入力!$B:$B,MATCH(51,棚卸し入力!$I:$I,0)),"")</f>
        <v/>
      </c>
      <c r="D52" s="15" t="str">
        <f aca="false">IFERROR(INDEX(棚卸し入力!$G:$G,MATCH(51,棚卸し入力!$I:$I,0)),"")</f>
        <v/>
      </c>
      <c r="E52" s="8" t="str">
        <f aca="false">IFERROR(INDEX(棚卸し入力!$C:$C,MATCH(51,棚卸し入力!$I:$I,0)),"")</f>
        <v/>
      </c>
      <c r="F52" s="8" t="str">
        <f aca="false">IFERROR(INDEX(棚卸し入力!$A:$A,MATCH(51,棚卸し入力!$I:$I,0)),"")</f>
        <v/>
      </c>
    </row>
    <row r="53" customFormat="false" ht="15" hidden="false" customHeight="false" outlineLevel="0" collapsed="false">
      <c r="A53" s="15" t="str">
        <f aca="false">IF(C53="","",52)</f>
        <v/>
      </c>
      <c r="B53" s="8" t="str">
        <f aca="false">IFERROR(INDEX(棚卸し入力!$D:$D,MATCH(52,棚卸し入力!$I:$I,0)),"")</f>
        <v/>
      </c>
      <c r="C53" s="8" t="str">
        <f aca="false">IFERROR(INDEX(棚卸し入力!$B:$B,MATCH(52,棚卸し入力!$I:$I,0)),"")</f>
        <v/>
      </c>
      <c r="D53" s="15" t="str">
        <f aca="false">IFERROR(INDEX(棚卸し入力!$G:$G,MATCH(52,棚卸し入力!$I:$I,0)),"")</f>
        <v/>
      </c>
      <c r="E53" s="8" t="str">
        <f aca="false">IFERROR(INDEX(棚卸し入力!$C:$C,MATCH(52,棚卸し入力!$I:$I,0)),"")</f>
        <v/>
      </c>
      <c r="F53" s="8" t="str">
        <f aca="false">IFERROR(INDEX(棚卸し入力!$A:$A,MATCH(52,棚卸し入力!$I:$I,0)),"")</f>
        <v/>
      </c>
    </row>
    <row r="54" customFormat="false" ht="15" hidden="false" customHeight="false" outlineLevel="0" collapsed="false">
      <c r="A54" s="15" t="str">
        <f aca="false">IF(C54="","",53)</f>
        <v/>
      </c>
      <c r="B54" s="8" t="str">
        <f aca="false">IFERROR(INDEX(棚卸し入力!$D:$D,MATCH(53,棚卸し入力!$I:$I,0)),"")</f>
        <v/>
      </c>
      <c r="C54" s="8" t="str">
        <f aca="false">IFERROR(INDEX(棚卸し入力!$B:$B,MATCH(53,棚卸し入力!$I:$I,0)),"")</f>
        <v/>
      </c>
      <c r="D54" s="15" t="str">
        <f aca="false">IFERROR(INDEX(棚卸し入力!$G:$G,MATCH(53,棚卸し入力!$I:$I,0)),"")</f>
        <v/>
      </c>
      <c r="E54" s="8" t="str">
        <f aca="false">IFERROR(INDEX(棚卸し入力!$C:$C,MATCH(53,棚卸し入力!$I:$I,0)),"")</f>
        <v/>
      </c>
      <c r="F54" s="8" t="str">
        <f aca="false">IFERROR(INDEX(棚卸し入力!$A:$A,MATCH(53,棚卸し入力!$I:$I,0)),"")</f>
        <v/>
      </c>
    </row>
    <row r="55" customFormat="false" ht="15" hidden="false" customHeight="false" outlineLevel="0" collapsed="false">
      <c r="A55" s="15" t="str">
        <f aca="false">IF(C55="","",54)</f>
        <v/>
      </c>
      <c r="B55" s="8" t="str">
        <f aca="false">IFERROR(INDEX(棚卸し入力!$D:$D,MATCH(54,棚卸し入力!$I:$I,0)),"")</f>
        <v/>
      </c>
      <c r="C55" s="8" t="str">
        <f aca="false">IFERROR(INDEX(棚卸し入力!$B:$B,MATCH(54,棚卸し入力!$I:$I,0)),"")</f>
        <v/>
      </c>
      <c r="D55" s="15" t="str">
        <f aca="false">IFERROR(INDEX(棚卸し入力!$G:$G,MATCH(54,棚卸し入力!$I:$I,0)),"")</f>
        <v/>
      </c>
      <c r="E55" s="8" t="str">
        <f aca="false">IFERROR(INDEX(棚卸し入力!$C:$C,MATCH(54,棚卸し入力!$I:$I,0)),"")</f>
        <v/>
      </c>
      <c r="F55" s="8" t="str">
        <f aca="false">IFERROR(INDEX(棚卸し入力!$A:$A,MATCH(54,棚卸し入力!$I:$I,0)),"")</f>
        <v/>
      </c>
    </row>
    <row r="56" customFormat="false" ht="15" hidden="false" customHeight="false" outlineLevel="0" collapsed="false">
      <c r="A56" s="15" t="str">
        <f aca="false">IF(C56="","",55)</f>
        <v/>
      </c>
      <c r="B56" s="8" t="str">
        <f aca="false">IFERROR(INDEX(棚卸し入力!$D:$D,MATCH(55,棚卸し入力!$I:$I,0)),"")</f>
        <v/>
      </c>
      <c r="C56" s="8" t="str">
        <f aca="false">IFERROR(INDEX(棚卸し入力!$B:$B,MATCH(55,棚卸し入力!$I:$I,0)),"")</f>
        <v/>
      </c>
      <c r="D56" s="15" t="str">
        <f aca="false">IFERROR(INDEX(棚卸し入力!$G:$G,MATCH(55,棚卸し入力!$I:$I,0)),"")</f>
        <v/>
      </c>
      <c r="E56" s="8" t="str">
        <f aca="false">IFERROR(INDEX(棚卸し入力!$C:$C,MATCH(55,棚卸し入力!$I:$I,0)),"")</f>
        <v/>
      </c>
      <c r="F56" s="8" t="str">
        <f aca="false">IFERROR(INDEX(棚卸し入力!$A:$A,MATCH(55,棚卸し入力!$I:$I,0)),"")</f>
        <v/>
      </c>
    </row>
    <row r="57" customFormat="false" ht="15" hidden="false" customHeight="false" outlineLevel="0" collapsed="false">
      <c r="A57" s="15" t="str">
        <f aca="false">IF(C57="","",56)</f>
        <v/>
      </c>
      <c r="B57" s="8" t="str">
        <f aca="false">IFERROR(INDEX(棚卸し入力!$D:$D,MATCH(56,棚卸し入力!$I:$I,0)),"")</f>
        <v/>
      </c>
      <c r="C57" s="8" t="str">
        <f aca="false">IFERROR(INDEX(棚卸し入力!$B:$B,MATCH(56,棚卸し入力!$I:$I,0)),"")</f>
        <v/>
      </c>
      <c r="D57" s="15" t="str">
        <f aca="false">IFERROR(INDEX(棚卸し入力!$G:$G,MATCH(56,棚卸し入力!$I:$I,0)),"")</f>
        <v/>
      </c>
      <c r="E57" s="8" t="str">
        <f aca="false">IFERROR(INDEX(棚卸し入力!$C:$C,MATCH(56,棚卸し入力!$I:$I,0)),"")</f>
        <v/>
      </c>
      <c r="F57" s="8" t="str">
        <f aca="false">IFERROR(INDEX(棚卸し入力!$A:$A,MATCH(56,棚卸し入力!$I:$I,0)),"")</f>
        <v/>
      </c>
    </row>
    <row r="58" customFormat="false" ht="15" hidden="false" customHeight="false" outlineLevel="0" collapsed="false">
      <c r="A58" s="15" t="str">
        <f aca="false">IF(C58="","",57)</f>
        <v/>
      </c>
      <c r="B58" s="8" t="str">
        <f aca="false">IFERROR(INDEX(棚卸し入力!$D:$D,MATCH(57,棚卸し入力!$I:$I,0)),"")</f>
        <v/>
      </c>
      <c r="C58" s="8" t="str">
        <f aca="false">IFERROR(INDEX(棚卸し入力!$B:$B,MATCH(57,棚卸し入力!$I:$I,0)),"")</f>
        <v/>
      </c>
      <c r="D58" s="15" t="str">
        <f aca="false">IFERROR(INDEX(棚卸し入力!$G:$G,MATCH(57,棚卸し入力!$I:$I,0)),"")</f>
        <v/>
      </c>
      <c r="E58" s="8" t="str">
        <f aca="false">IFERROR(INDEX(棚卸し入力!$C:$C,MATCH(57,棚卸し入力!$I:$I,0)),"")</f>
        <v/>
      </c>
      <c r="F58" s="8" t="str">
        <f aca="false">IFERROR(INDEX(棚卸し入力!$A:$A,MATCH(57,棚卸し入力!$I:$I,0)),"")</f>
        <v/>
      </c>
    </row>
    <row r="59" customFormat="false" ht="15" hidden="false" customHeight="false" outlineLevel="0" collapsed="false">
      <c r="A59" s="15" t="str">
        <f aca="false">IF(C59="","",58)</f>
        <v/>
      </c>
      <c r="B59" s="8" t="str">
        <f aca="false">IFERROR(INDEX(棚卸し入力!$D:$D,MATCH(58,棚卸し入力!$I:$I,0)),"")</f>
        <v/>
      </c>
      <c r="C59" s="8" t="str">
        <f aca="false">IFERROR(INDEX(棚卸し入力!$B:$B,MATCH(58,棚卸し入力!$I:$I,0)),"")</f>
        <v/>
      </c>
      <c r="D59" s="15" t="str">
        <f aca="false">IFERROR(INDEX(棚卸し入力!$G:$G,MATCH(58,棚卸し入力!$I:$I,0)),"")</f>
        <v/>
      </c>
      <c r="E59" s="8" t="str">
        <f aca="false">IFERROR(INDEX(棚卸し入力!$C:$C,MATCH(58,棚卸し入力!$I:$I,0)),"")</f>
        <v/>
      </c>
      <c r="F59" s="8" t="str">
        <f aca="false">IFERROR(INDEX(棚卸し入力!$A:$A,MATCH(58,棚卸し入力!$I:$I,0)),"")</f>
        <v/>
      </c>
    </row>
    <row r="60" customFormat="false" ht="15" hidden="false" customHeight="false" outlineLevel="0" collapsed="false">
      <c r="A60" s="15" t="str">
        <f aca="false">IF(C60="","",59)</f>
        <v/>
      </c>
      <c r="B60" s="8" t="str">
        <f aca="false">IFERROR(INDEX(棚卸し入力!$D:$D,MATCH(59,棚卸し入力!$I:$I,0)),"")</f>
        <v/>
      </c>
      <c r="C60" s="8" t="str">
        <f aca="false">IFERROR(INDEX(棚卸し入力!$B:$B,MATCH(59,棚卸し入力!$I:$I,0)),"")</f>
        <v/>
      </c>
      <c r="D60" s="15" t="str">
        <f aca="false">IFERROR(INDEX(棚卸し入力!$G:$G,MATCH(59,棚卸し入力!$I:$I,0)),"")</f>
        <v/>
      </c>
      <c r="E60" s="8" t="str">
        <f aca="false">IFERROR(INDEX(棚卸し入力!$C:$C,MATCH(59,棚卸し入力!$I:$I,0)),"")</f>
        <v/>
      </c>
      <c r="F60" s="8" t="str">
        <f aca="false">IFERROR(INDEX(棚卸し入力!$A:$A,MATCH(59,棚卸し入力!$I:$I,0)),"")</f>
        <v/>
      </c>
    </row>
    <row r="61" customFormat="false" ht="15" hidden="false" customHeight="false" outlineLevel="0" collapsed="false">
      <c r="A61" s="15" t="str">
        <f aca="false">IF(C61="","",60)</f>
        <v/>
      </c>
      <c r="B61" s="8" t="str">
        <f aca="false">IFERROR(INDEX(棚卸し入力!$D:$D,MATCH(60,棚卸し入力!$I:$I,0)),"")</f>
        <v/>
      </c>
      <c r="C61" s="8" t="str">
        <f aca="false">IFERROR(INDEX(棚卸し入力!$B:$B,MATCH(60,棚卸し入力!$I:$I,0)),"")</f>
        <v/>
      </c>
      <c r="D61" s="15" t="str">
        <f aca="false">IFERROR(INDEX(棚卸し入力!$G:$G,MATCH(60,棚卸し入力!$I:$I,0)),"")</f>
        <v/>
      </c>
      <c r="E61" s="8" t="str">
        <f aca="false">IFERROR(INDEX(棚卸し入力!$C:$C,MATCH(60,棚卸し入力!$I:$I,0)),"")</f>
        <v/>
      </c>
      <c r="F61" s="8" t="str">
        <f aca="false">IFERROR(INDEX(棚卸し入力!$A:$A,MATCH(60,棚卸し入力!$I:$I,0)),"")</f>
        <v/>
      </c>
    </row>
    <row r="63" customFormat="false" ht="15" hidden="false" customHeight="false" outlineLevel="0" collapsed="false">
      <c r="A63" s="1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2026-10-18T02:35:53Z</dcterms:created>
  <dc:creator>openpyxl</dc:creator>
  <dc:description/>
  <dc:language>en-US</dc:language>
  <cp:lastModifiedBy/>
  <dcterms:modified xsi:type="dcterms:W3CDTF">2026-10-18T02:35:53Z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